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Dashboard" sheetId="2" state="visible" r:id="rId2"/>
    <sheet name="Tracker" sheetId="3" state="visible" r:id="rId3"/>
    <sheet name="Competitor Backlinks" sheetId="4" state="visible" r:id="rId4"/>
    <sheet name="Outreach Log" sheetId="5" state="visible" r:id="rId5"/>
    <sheet name="Link Monitoring" sheetId="6" state="visible" r:id="rId6"/>
  </sheets>
  <definedNames>
    <definedName name="_xlnm._FilterDatabase" localSheetId="2" hidden="1">'Tracker'!$A$1:$U$501</definedName>
    <definedName name="_xlnm._FilterDatabase" localSheetId="3" hidden="1">'Competitor Backlinks'!$A$1:$K$501</definedName>
    <definedName name="_xlnm._FilterDatabase" localSheetId="4" hidden="1">'Outreach Log'!$A$1:$L$501</definedName>
    <definedName name="_xlnm._FilterDatabase" localSheetId="5" hidden="1">'Link Monitoring'!$A$1:$I$501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</font>
    <font>
      <name val="Arial"/>
      <color rgb="000000FF"/>
    </font>
    <font>
      <name val="Arial"/>
      <color rgb="00000000"/>
    </font>
    <font>
      <name val="Arial"/>
      <b val="1"/>
    </font>
    <font>
      <name val="Arial"/>
      <i val="1"/>
      <color rgb="00808080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9" fontId="5" fillId="2" borderId="0" pivotButton="0" quotePrefix="0" xfId="0"/>
    <xf numFmtId="9" fontId="6" fillId="0" borderId="0" pivotButton="0" quotePrefix="0" xfId="0"/>
    <xf numFmtId="0" fontId="5" fillId="2" borderId="0" pivotButton="0" quotePrefix="0" xfId="0"/>
    <xf numFmtId="3" fontId="5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1" pivotButton="0" quotePrefix="0" xfId="0"/>
    <xf numFmtId="9" fontId="7" fillId="0" borderId="1" pivotButton="0" quotePrefix="0" xfId="0"/>
    <xf numFmtId="0" fontId="9" fillId="3" borderId="1" applyAlignment="1" pivotButton="0" quotePrefix="0" xfId="0">
      <alignment horizontal="center" vertical="center" wrapText="1"/>
    </xf>
    <xf numFmtId="0" fontId="5" fillId="2" borderId="1" pivotButton="0" quotePrefix="0" xfId="0"/>
    <xf numFmtId="3" fontId="5" fillId="2" borderId="1" pivotButton="0" quotePrefix="0" xfId="0"/>
    <xf numFmtId="164" fontId="5" fillId="2" borderId="1" pivotButton="0" quotePrefix="0" xfId="0"/>
    <xf numFmtId="0" fontId="6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dxfs count="3">
    <dxf>
      <font>
        <name val="Arial"/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rightToLeft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</cols>
  <sheetData>
    <row r="1">
      <c r="A1" s="1" t="inlineStr">
        <is>
          <t>Backlink Tracker — Entertainment SEO</t>
        </is>
      </c>
    </row>
    <row r="2">
      <c r="A2" s="2" t="inlineStr"/>
    </row>
    <row r="3">
      <c r="A3" s="3" t="inlineStr">
        <is>
          <t>HOW TO USE / طريقة الاستخدام</t>
        </is>
      </c>
    </row>
    <row r="4">
      <c r="A4" s="2" t="inlineStr">
        <is>
          <t>Yellow cells = you (or the agent) type here</t>
        </is>
      </c>
      <c r="C4" s="4" t="inlineStr">
        <is>
          <t>الخلايا الصفراء = إدخال يدوي. الخلايا البيضاء = معادلات لا تُعدّل.</t>
        </is>
      </c>
    </row>
    <row r="5">
      <c r="A5" s="2" t="inlineStr">
        <is>
          <t>Blue text = input values</t>
        </is>
      </c>
      <c r="C5" s="4" t="inlineStr">
        <is>
          <t>النص الأزرق = قيم مُدخلة. النص الأسود = نتائج معادلات.</t>
        </is>
      </c>
    </row>
    <row r="6">
      <c r="A6" s="2" t="inlineStr">
        <is>
          <t>Row 2 of each sheet is an EXAMPLE</t>
        </is>
      </c>
      <c r="C6" s="4" t="inlineStr">
        <is>
          <t>الصف الثاني في كل ورقة مثال توضيحي — احذفه أو استبدله.</t>
        </is>
      </c>
    </row>
    <row r="7">
      <c r="A7" s="2" t="inlineStr"/>
    </row>
    <row r="8">
      <c r="A8" s="2" t="inlineStr">
        <is>
          <t>SCORING WEIGHTS (Module 3)</t>
        </is>
      </c>
      <c r="B8" s="5" t="inlineStr">
        <is>
          <t>Weight</t>
        </is>
      </c>
      <c r="C8" s="4" t="inlineStr">
        <is>
          <t>Edit weights here; all scores recalculate. / عدّل الأوزان هنا</t>
        </is>
      </c>
    </row>
    <row r="9">
      <c r="A9" s="2" t="inlineStr">
        <is>
          <t>Authority (DR)</t>
        </is>
      </c>
      <c r="B9" s="6" t="n">
        <v>0.3</v>
      </c>
      <c r="C9" s="4" t="inlineStr">
        <is>
          <t>Ahrefs DR 0-100</t>
        </is>
      </c>
    </row>
    <row r="10">
      <c r="A10" s="2" t="inlineStr">
        <is>
          <t>Relevance</t>
        </is>
      </c>
      <c r="B10" s="6" t="n">
        <v>0.3</v>
      </c>
      <c r="C10" s="4" t="inlineStr">
        <is>
          <t>0-100: 90+ same niche (drama/anime/movies), 70 broad entertainment, &lt;50 off-topic</t>
        </is>
      </c>
    </row>
    <row r="11">
      <c r="A11" s="2" t="inlineStr">
        <is>
          <t>Traffic</t>
        </is>
      </c>
      <c r="B11" s="6" t="n">
        <v>0.2</v>
      </c>
      <c r="C11" s="4" t="inlineStr">
        <is>
          <t>Converted to points with the table below</t>
        </is>
      </c>
    </row>
    <row r="12">
      <c r="A12" s="2" t="inlineStr">
        <is>
          <t>Content Quality</t>
        </is>
      </c>
      <c r="B12" s="6" t="n">
        <v>0.1</v>
      </c>
      <c r="C12" s="4" t="inlineStr">
        <is>
          <t>0-100: original, updated, real authors, editorial standards</t>
        </is>
      </c>
    </row>
    <row r="13">
      <c r="A13" s="2" t="inlineStr">
        <is>
          <t>Spam Safety (100 − Spam Risk)</t>
        </is>
      </c>
      <c r="B13" s="6" t="n">
        <v>0.1</v>
      </c>
      <c r="C13" s="4" t="inlineStr">
        <is>
          <t>Spam Risk 0-100: 0 = clean, 100 = obvious link farm</t>
        </is>
      </c>
    </row>
    <row r="14">
      <c r="A14" s="2" t="inlineStr">
        <is>
          <t>Total</t>
        </is>
      </c>
      <c r="B14" s="7">
        <f>SUM(B9:B13)</f>
        <v/>
      </c>
      <c r="C14" s="4" t="inlineStr">
        <is>
          <t>Must equal 100%</t>
        </is>
      </c>
    </row>
    <row r="15">
      <c r="A15" s="2" t="inlineStr">
        <is>
          <t>Priority threshold</t>
        </is>
      </c>
      <c r="B15" s="8" t="n">
        <v>80</v>
      </c>
      <c r="C15" s="4" t="inlineStr">
        <is>
          <t>Only score ≥ this is prioritized</t>
        </is>
      </c>
    </row>
    <row r="16">
      <c r="A16" s="2" t="inlineStr"/>
    </row>
    <row r="17">
      <c r="A17" s="3" t="inlineStr">
        <is>
          <t>TRAFFIC → POINTS</t>
        </is>
      </c>
      <c r="B17" s="5" t="inlineStr">
        <is>
          <t>Points</t>
        </is>
      </c>
      <c r="C17" s="4" t="inlineStr">
        <is>
          <t>Monthly organic traffic lower bound (Ahrefs/Semrush)</t>
        </is>
      </c>
    </row>
    <row r="18">
      <c r="A18" s="9" t="n">
        <v>0</v>
      </c>
      <c r="B18" s="8" t="n">
        <v>10</v>
      </c>
    </row>
    <row r="19">
      <c r="A19" s="9" t="n">
        <v>1000</v>
      </c>
      <c r="B19" s="8" t="n">
        <v>25</v>
      </c>
    </row>
    <row r="20">
      <c r="A20" s="9" t="n">
        <v>10000</v>
      </c>
      <c r="B20" s="8" t="n">
        <v>45</v>
      </c>
    </row>
    <row r="21">
      <c r="A21" s="9" t="n">
        <v>50000</v>
      </c>
      <c r="B21" s="8" t="n">
        <v>60</v>
      </c>
    </row>
    <row r="22">
      <c r="A22" s="9" t="n">
        <v>100000</v>
      </c>
      <c r="B22" s="8" t="n">
        <v>70</v>
      </c>
    </row>
    <row r="23">
      <c r="A23" s="9" t="n">
        <v>500000</v>
      </c>
      <c r="B23" s="8" t="n">
        <v>85</v>
      </c>
    </row>
    <row r="24">
      <c r="A24" s="9" t="n">
        <v>1000000</v>
      </c>
      <c r="B24" s="8" t="n">
        <v>95</v>
      </c>
    </row>
    <row r="25">
      <c r="A25" s="9" t="n">
        <v>5000000</v>
      </c>
      <c r="B25" s="8" t="n">
        <v>100</v>
      </c>
    </row>
    <row r="27">
      <c r="A27" s="10" t="inlineStr">
        <is>
          <t>STATUS VALUES</t>
        </is>
      </c>
      <c r="C27" s="10" t="inlineStr">
        <is>
          <t>OPPORTUNITY TYPES</t>
        </is>
      </c>
    </row>
    <row r="28">
      <c r="A28" s="4" t="inlineStr">
        <is>
          <t>Prospect</t>
        </is>
      </c>
      <c r="C28" s="4" t="inlineStr">
        <is>
          <t>Guest Post</t>
        </is>
      </c>
    </row>
    <row r="29">
      <c r="A29" s="4" t="inlineStr">
        <is>
          <t>Qualified</t>
        </is>
      </c>
      <c r="C29" s="4" t="inlineStr">
        <is>
          <t>Editorial Article</t>
        </is>
      </c>
    </row>
    <row r="30">
      <c r="A30" s="4" t="inlineStr">
        <is>
          <t>Contacted</t>
        </is>
      </c>
      <c r="C30" s="4" t="inlineStr">
        <is>
          <t>Resource Page</t>
        </is>
      </c>
    </row>
    <row r="31">
      <c r="A31" s="4" t="inlineStr">
        <is>
          <t>Follow-up</t>
        </is>
      </c>
      <c r="C31" s="4" t="inlineStr">
        <is>
          <t>Interview</t>
        </is>
      </c>
    </row>
    <row r="32">
      <c r="A32" s="4" t="inlineStr">
        <is>
          <t>Replied</t>
        </is>
      </c>
      <c r="C32" s="4" t="inlineStr">
        <is>
          <t>Review</t>
        </is>
      </c>
    </row>
    <row r="33">
      <c r="A33" s="4" t="inlineStr">
        <is>
          <t>Accepted</t>
        </is>
      </c>
      <c r="C33" s="4" t="inlineStr">
        <is>
          <t>Entertainment List</t>
        </is>
      </c>
    </row>
    <row r="34">
      <c r="A34" s="4" t="inlineStr">
        <is>
          <t>Draft Sent</t>
        </is>
      </c>
      <c r="C34" s="4" t="inlineStr">
        <is>
          <t>News Mention</t>
        </is>
      </c>
    </row>
    <row r="35">
      <c r="A35" s="4" t="inlineStr">
        <is>
          <t>Published</t>
        </is>
      </c>
      <c r="C35" s="4" t="inlineStr">
        <is>
          <t>Community Contribution</t>
        </is>
      </c>
    </row>
    <row r="36">
      <c r="A36" s="4" t="inlineStr">
        <is>
          <t>Rejected</t>
        </is>
      </c>
    </row>
    <row r="37">
      <c r="A37" s="4" t="inlineStr">
        <is>
          <t>No Response</t>
        </is>
      </c>
    </row>
    <row r="39">
      <c r="A39" s="11" t="inlineStr">
        <is>
          <t>Sources: weights &amp; threshold from the user's agent specification (Module 3). Traffic bands are an adjustable assumption.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Dashboard</t>
        </is>
      </c>
    </row>
    <row r="2">
      <c r="A2" s="4" t="inlineStr">
        <is>
          <t>Opportunities tracked</t>
        </is>
      </c>
      <c r="B2" s="12">
        <f>COUNTA(Tracker!$A$2:$A$501)</f>
        <v/>
      </c>
    </row>
    <row r="3">
      <c r="A3" s="4" t="inlineStr">
        <is>
          <t>Priority (score ≥ threshold)</t>
        </is>
      </c>
      <c r="B3" s="12">
        <f>COUNTIF(Tracker!$U$2:$U$501,"PRIORITY")</f>
        <v/>
      </c>
    </row>
    <row r="4">
      <c r="A4" s="4" t="inlineStr">
        <is>
          <t>DR 80+ opportunities</t>
        </is>
      </c>
      <c r="B4" s="12">
        <f>COUNTIF(Tracker!$C$2:$C$501,"&gt;=80")</f>
        <v/>
      </c>
    </row>
    <row r="5">
      <c r="A5" s="4" t="inlineStr">
        <is>
          <t>Contacted / Follow-up</t>
        </is>
      </c>
      <c r="B5" s="12">
        <f>COUNTIF(Tracker!$K$2:$K$501,"Contacted")+COUNTIF(Tracker!$K$2:$K$501,"Follow-up")</f>
        <v/>
      </c>
    </row>
    <row r="6">
      <c r="A6" s="4" t="inlineStr">
        <is>
          <t>Accepted</t>
        </is>
      </c>
      <c r="B6" s="12">
        <f>COUNTIF(Tracker!$K$2:$K$501,"Accepted")</f>
        <v/>
      </c>
    </row>
    <row r="7">
      <c r="A7" s="4" t="inlineStr">
        <is>
          <t>Published</t>
        </is>
      </c>
      <c r="B7" s="12">
        <f>COUNTIF(Tracker!$K$2:$K$501,"Published")</f>
        <v/>
      </c>
    </row>
    <row r="8">
      <c r="A8" s="4" t="inlineStr">
        <is>
          <t>Rejected / No response</t>
        </is>
      </c>
      <c r="B8" s="12">
        <f>COUNTIF(Tracker!$K$2:$K$501,"Rejected")+COUNTIF(Tracker!$K$2:$K$501,"No Response")</f>
        <v/>
      </c>
    </row>
    <row r="9">
      <c r="A9" s="4" t="inlineStr">
        <is>
          <t>Reply rate</t>
        </is>
      </c>
      <c r="B9" s="13">
        <f>IFERROR((COUNTIF(Tracker!$K$2:$K$501,"Replied")+COUNTIF(Tracker!$K$2:$K$501,"Accepted")+COUNTIF(Tracker!$K$2:$K$501,"Draft Sent")+COUNTIF(Tracker!$K$2:$K$501,"Published"))/(B5+COUNTIF(Tracker!$K$2:$K$501,"Replied")+COUNTIF(Tracker!$K$2:$K$501,"Accepted")+COUNTIF(Tracker!$K$2:$K$501,"Draft Sent")+COUNTIF(Tracker!$K$2:$K$501,"Published")+COUNTIF(Tracker!$K$2:$K$501,"No Response")),0)</f>
        <v/>
      </c>
    </row>
    <row r="10">
      <c r="A10" s="4" t="inlineStr">
        <is>
          <t>Live links (latest checks)</t>
        </is>
      </c>
      <c r="B10" s="12">
        <f>COUNTIF('Link Monitoring'!$H$2:$H$501,"Live*")</f>
        <v/>
      </c>
    </row>
    <row r="11">
      <c r="A11" s="4" t="inlineStr">
        <is>
          <t>Lost links</t>
        </is>
      </c>
      <c r="B11" s="12">
        <f>COUNTIF('Link Monitoring'!$H$2:$H$501,"Lost")</f>
        <v/>
      </c>
    </row>
    <row r="12">
      <c r="A12" s="4" t="inlineStr">
        <is>
          <t>Follow-ups due today</t>
        </is>
      </c>
      <c r="B12" s="12">
        <f>COUNTIFS('Outreach Log'!$K$2:$K$501,"Waiting",'Outreach Log'!$H$2:$H$501,TODAY())+COUNTIFS('Outreach Log'!$K$2:$K$501,"Waiting",'Outreach Log'!$I$2:$I$501,TODAY())+COUNTIFS('Outreach Log'!$K$2:$K$501,"Waiting",'Outreach Log'!$J$2:$J$501,TODAY())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7" customWidth="1" min="3" max="3"/>
    <col width="12" customWidth="1" min="4" max="4"/>
    <col width="10" customWidth="1" min="5" max="5"/>
    <col width="10" customWidth="1" min="6" max="6"/>
    <col width="16" customWidth="1" min="7" max="7"/>
    <col width="26" customWidth="1" min="8" max="8"/>
    <col width="18" customWidth="1" min="9" max="9"/>
    <col width="32" customWidth="1" min="10" max="10"/>
    <col width="13" customWidth="1" min="11" max="11"/>
    <col width="34" customWidth="1" min="12" max="12"/>
    <col width="20" customWidth="1" min="13" max="13"/>
    <col width="12" customWidth="1" min="14" max="14"/>
    <col width="30" customWidth="1" min="15" max="15"/>
    <col width="11" customWidth="1" min="16" max="16"/>
    <col width="11" customWidth="1" min="17" max="17"/>
    <col width="11" customWidth="1" min="18" max="18"/>
    <col width="10" customWidth="1" min="19" max="19"/>
    <col width="9" customWidth="1" min="20" max="20"/>
    <col width="11" customWidth="1" min="21" max="21"/>
  </cols>
  <sheetData>
    <row r="1" ht="32" customHeight="1">
      <c r="A1" s="14" t="inlineStr">
        <is>
          <t>Website</t>
        </is>
      </c>
      <c r="B1" s="14" t="inlineStr">
        <is>
          <t>URL</t>
        </is>
      </c>
      <c r="C1" s="14" t="inlineStr">
        <is>
          <t>DR</t>
        </is>
      </c>
      <c r="D1" s="14" t="inlineStr">
        <is>
          <t>Traffic</t>
        </is>
      </c>
      <c r="E1" s="14" t="inlineStr">
        <is>
          <t>Country</t>
        </is>
      </c>
      <c r="F1" s="14" t="inlineStr">
        <is>
          <t>Language</t>
        </is>
      </c>
      <c r="G1" s="14" t="inlineStr">
        <is>
          <t>Niche</t>
        </is>
      </c>
      <c r="H1" s="14" t="inlineStr">
        <is>
          <t>Contact Email</t>
        </is>
      </c>
      <c r="I1" s="14" t="inlineStr">
        <is>
          <t>Opportunity Type</t>
        </is>
      </c>
      <c r="J1" s="14" t="inlineStr">
        <is>
          <t>Article Topic</t>
        </is>
      </c>
      <c r="K1" s="14" t="inlineStr">
        <is>
          <t>Status</t>
        </is>
      </c>
      <c r="L1" s="14" t="inlineStr">
        <is>
          <t>Published URL</t>
        </is>
      </c>
      <c r="M1" s="14" t="inlineStr">
        <is>
          <t>Anchor Text</t>
        </is>
      </c>
      <c r="N1" s="14" t="inlineStr">
        <is>
          <t>Date</t>
        </is>
      </c>
      <c r="O1" s="14" t="inlineStr">
        <is>
          <t>Notes</t>
        </is>
      </c>
      <c r="P1" s="14" t="inlineStr">
        <is>
          <t>Relevance (0-100)</t>
        </is>
      </c>
      <c r="Q1" s="14" t="inlineStr">
        <is>
          <t>Content Quality (0-100)</t>
        </is>
      </c>
      <c r="R1" s="14" t="inlineStr">
        <is>
          <t>Spam Risk (0-100)</t>
        </is>
      </c>
      <c r="S1" s="14" t="inlineStr">
        <is>
          <t>Traffic Points</t>
        </is>
      </c>
      <c r="T1" s="14" t="inlineStr">
        <is>
          <t>Score</t>
        </is>
      </c>
      <c r="U1" s="14" t="inlineStr">
        <is>
          <t>Priority</t>
        </is>
      </c>
    </row>
    <row r="2">
      <c r="A2" s="15" t="inlineStr">
        <is>
          <t>dramafansmag.example</t>
        </is>
      </c>
      <c r="B2" s="15" t="inlineStr">
        <is>
          <t>https://dramafansmag.example/write-for-us</t>
        </is>
      </c>
      <c r="C2" s="15" t="n">
        <v>82</v>
      </c>
      <c r="D2" s="16" t="n">
        <v>650000</v>
      </c>
      <c r="E2" s="15" t="inlineStr">
        <is>
          <t>US</t>
        </is>
      </c>
      <c r="F2" s="15" t="inlineStr">
        <is>
          <t>English</t>
        </is>
      </c>
      <c r="G2" s="15" t="inlineStr">
        <is>
          <t>Asian Drama</t>
        </is>
      </c>
      <c r="H2" s="15" t="inlineStr">
        <is>
          <t>editor@dramafansmag.example</t>
        </is>
      </c>
      <c r="I2" s="15" t="inlineStr">
        <is>
          <t>Guest Post</t>
        </is>
      </c>
      <c r="J2" s="15" t="inlineStr">
        <is>
          <t>Hidden Gem Chinese Historical Dramas</t>
        </is>
      </c>
      <c r="K2" s="15" t="inlineStr">
        <is>
          <t>Qualified</t>
        </is>
      </c>
      <c r="L2" s="15" t="inlineStr"/>
      <c r="M2" s="15" t="inlineStr"/>
      <c r="N2" s="17" t="n">
        <v>46290</v>
      </c>
      <c r="O2" s="15" t="inlineStr">
        <is>
          <t>Guidelines: 1,200+ words, 1 link</t>
        </is>
      </c>
      <c r="P2" s="15" t="n">
        <v>92</v>
      </c>
      <c r="Q2" s="15" t="n">
        <v>85</v>
      </c>
      <c r="R2" s="15" t="n">
        <v>5</v>
      </c>
      <c r="S2" s="18">
        <f>IF(D2="","",INDEX(Guide!$B$18:$B$25,MATCH(D2,Guide!$A$18:$A$25,1)))</f>
        <v/>
      </c>
      <c r="T2" s="18">
        <f>IF(OR(C2="",P2="",Q2="",R2="",D2=""),"",ROUND(C2*Guide!$B$9+P2*Guide!$B$10+S2*Guide!$B$11+Q2*Guide!$B$12+(100-R2)*Guide!$B$13,1))</f>
        <v/>
      </c>
      <c r="U2" s="18">
        <f>IF(T2="","",IF(T2&gt;=Guide!$B$15,"PRIORITY","Low"))</f>
        <v/>
      </c>
    </row>
    <row r="3">
      <c r="A3" s="19" t="n"/>
      <c r="B3" s="19" t="n"/>
      <c r="C3" s="19" t="n"/>
      <c r="D3" s="20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21" t="n"/>
      <c r="O3" s="19" t="n"/>
      <c r="P3" s="19" t="n"/>
      <c r="Q3" s="19" t="n"/>
      <c r="R3" s="19" t="n"/>
      <c r="S3" s="18">
        <f>IF(D3="","",INDEX(Guide!$B$18:$B$25,MATCH(D3,Guide!$A$18:$A$25,1)))</f>
        <v/>
      </c>
      <c r="T3" s="18">
        <f>IF(OR(C3="",P3="",Q3="",R3="",D3=""),"",ROUND(C3*Guide!$B$9+P3*Guide!$B$10+S3*Guide!$B$11+Q3*Guide!$B$12+(100-R3)*Guide!$B$13,1))</f>
        <v/>
      </c>
      <c r="U3" s="18">
        <f>IF(T3="","",IF(T3&gt;=Guide!$B$15,"PRIORITY","Low"))</f>
        <v/>
      </c>
    </row>
    <row r="4">
      <c r="A4" s="19" t="n"/>
      <c r="B4" s="19" t="n"/>
      <c r="C4" s="19" t="n"/>
      <c r="D4" s="20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21" t="n"/>
      <c r="O4" s="19" t="n"/>
      <c r="P4" s="19" t="n"/>
      <c r="Q4" s="19" t="n"/>
      <c r="R4" s="19" t="n"/>
      <c r="S4" s="18">
        <f>IF(D4="","",INDEX(Guide!$B$18:$B$25,MATCH(D4,Guide!$A$18:$A$25,1)))</f>
        <v/>
      </c>
      <c r="T4" s="18">
        <f>IF(OR(C4="",P4="",Q4="",R4="",D4=""),"",ROUND(C4*Guide!$B$9+P4*Guide!$B$10+S4*Guide!$B$11+Q4*Guide!$B$12+(100-R4)*Guide!$B$13,1))</f>
        <v/>
      </c>
      <c r="U4" s="18">
        <f>IF(T4="","",IF(T4&gt;=Guide!$B$15,"PRIORITY","Low"))</f>
        <v/>
      </c>
    </row>
    <row r="5">
      <c r="A5" s="19" t="n"/>
      <c r="B5" s="19" t="n"/>
      <c r="C5" s="19" t="n"/>
      <c r="D5" s="20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21" t="n"/>
      <c r="O5" s="19" t="n"/>
      <c r="P5" s="19" t="n"/>
      <c r="Q5" s="19" t="n"/>
      <c r="R5" s="19" t="n"/>
      <c r="S5" s="18">
        <f>IF(D5="","",INDEX(Guide!$B$18:$B$25,MATCH(D5,Guide!$A$18:$A$25,1)))</f>
        <v/>
      </c>
      <c r="T5" s="18">
        <f>IF(OR(C5="",P5="",Q5="",R5="",D5=""),"",ROUND(C5*Guide!$B$9+P5*Guide!$B$10+S5*Guide!$B$11+Q5*Guide!$B$12+(100-R5)*Guide!$B$13,1))</f>
        <v/>
      </c>
      <c r="U5" s="18">
        <f>IF(T5="","",IF(T5&gt;=Guide!$B$15,"PRIORITY","Low"))</f>
        <v/>
      </c>
    </row>
    <row r="6">
      <c r="A6" s="19" t="n"/>
      <c r="B6" s="19" t="n"/>
      <c r="C6" s="19" t="n"/>
      <c r="D6" s="20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21" t="n"/>
      <c r="O6" s="19" t="n"/>
      <c r="P6" s="19" t="n"/>
      <c r="Q6" s="19" t="n"/>
      <c r="R6" s="19" t="n"/>
      <c r="S6" s="18">
        <f>IF(D6="","",INDEX(Guide!$B$18:$B$25,MATCH(D6,Guide!$A$18:$A$25,1)))</f>
        <v/>
      </c>
      <c r="T6" s="18">
        <f>IF(OR(C6="",P6="",Q6="",R6="",D6=""),"",ROUND(C6*Guide!$B$9+P6*Guide!$B$10+S6*Guide!$B$11+Q6*Guide!$B$12+(100-R6)*Guide!$B$13,1))</f>
        <v/>
      </c>
      <c r="U6" s="18">
        <f>IF(T6="","",IF(T6&gt;=Guide!$B$15,"PRIORITY","Low"))</f>
        <v/>
      </c>
    </row>
    <row r="7">
      <c r="A7" s="19" t="n"/>
      <c r="B7" s="19" t="n"/>
      <c r="C7" s="19" t="n"/>
      <c r="D7" s="20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21" t="n"/>
      <c r="O7" s="19" t="n"/>
      <c r="P7" s="19" t="n"/>
      <c r="Q7" s="19" t="n"/>
      <c r="R7" s="19" t="n"/>
      <c r="S7" s="18">
        <f>IF(D7="","",INDEX(Guide!$B$18:$B$25,MATCH(D7,Guide!$A$18:$A$25,1)))</f>
        <v/>
      </c>
      <c r="T7" s="18">
        <f>IF(OR(C7="",P7="",Q7="",R7="",D7=""),"",ROUND(C7*Guide!$B$9+P7*Guide!$B$10+S7*Guide!$B$11+Q7*Guide!$B$12+(100-R7)*Guide!$B$13,1))</f>
        <v/>
      </c>
      <c r="U7" s="18">
        <f>IF(T7="","",IF(T7&gt;=Guide!$B$15,"PRIORITY","Low"))</f>
        <v/>
      </c>
    </row>
    <row r="8">
      <c r="A8" s="19" t="n"/>
      <c r="B8" s="19" t="n"/>
      <c r="C8" s="19" t="n"/>
      <c r="D8" s="20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21" t="n"/>
      <c r="O8" s="19" t="n"/>
      <c r="P8" s="19" t="n"/>
      <c r="Q8" s="19" t="n"/>
      <c r="R8" s="19" t="n"/>
      <c r="S8" s="18">
        <f>IF(D8="","",INDEX(Guide!$B$18:$B$25,MATCH(D8,Guide!$A$18:$A$25,1)))</f>
        <v/>
      </c>
      <c r="T8" s="18">
        <f>IF(OR(C8="",P8="",Q8="",R8="",D8=""),"",ROUND(C8*Guide!$B$9+P8*Guide!$B$10+S8*Guide!$B$11+Q8*Guide!$B$12+(100-R8)*Guide!$B$13,1))</f>
        <v/>
      </c>
      <c r="U8" s="18">
        <f>IF(T8="","",IF(T8&gt;=Guide!$B$15,"PRIORITY","Low"))</f>
        <v/>
      </c>
    </row>
    <row r="9">
      <c r="A9" s="19" t="n"/>
      <c r="B9" s="19" t="n"/>
      <c r="C9" s="19" t="n"/>
      <c r="D9" s="20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21" t="n"/>
      <c r="O9" s="19" t="n"/>
      <c r="P9" s="19" t="n"/>
      <c r="Q9" s="19" t="n"/>
      <c r="R9" s="19" t="n"/>
      <c r="S9" s="18">
        <f>IF(D9="","",INDEX(Guide!$B$18:$B$25,MATCH(D9,Guide!$A$18:$A$25,1)))</f>
        <v/>
      </c>
      <c r="T9" s="18">
        <f>IF(OR(C9="",P9="",Q9="",R9="",D9=""),"",ROUND(C9*Guide!$B$9+P9*Guide!$B$10+S9*Guide!$B$11+Q9*Guide!$B$12+(100-R9)*Guide!$B$13,1))</f>
        <v/>
      </c>
      <c r="U9" s="18">
        <f>IF(T9="","",IF(T9&gt;=Guide!$B$15,"PRIORITY","Low"))</f>
        <v/>
      </c>
    </row>
    <row r="10">
      <c r="A10" s="19" t="n"/>
      <c r="B10" s="19" t="n"/>
      <c r="C10" s="19" t="n"/>
      <c r="D10" s="20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21" t="n"/>
      <c r="O10" s="19" t="n"/>
      <c r="P10" s="19" t="n"/>
      <c r="Q10" s="19" t="n"/>
      <c r="R10" s="19" t="n"/>
      <c r="S10" s="18">
        <f>IF(D10="","",INDEX(Guide!$B$18:$B$25,MATCH(D10,Guide!$A$18:$A$25,1)))</f>
        <v/>
      </c>
      <c r="T10" s="18">
        <f>IF(OR(C10="",P10="",Q10="",R10="",D10=""),"",ROUND(C10*Guide!$B$9+P10*Guide!$B$10+S10*Guide!$B$11+Q10*Guide!$B$12+(100-R10)*Guide!$B$13,1))</f>
        <v/>
      </c>
      <c r="U10" s="18">
        <f>IF(T10="","",IF(T10&gt;=Guide!$B$15,"PRIORITY","Low"))</f>
        <v/>
      </c>
    </row>
    <row r="11">
      <c r="A11" s="19" t="n"/>
      <c r="B11" s="19" t="n"/>
      <c r="C11" s="19" t="n"/>
      <c r="D11" s="20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21" t="n"/>
      <c r="O11" s="19" t="n"/>
      <c r="P11" s="19" t="n"/>
      <c r="Q11" s="19" t="n"/>
      <c r="R11" s="19" t="n"/>
      <c r="S11" s="18">
        <f>IF(D11="","",INDEX(Guide!$B$18:$B$25,MATCH(D11,Guide!$A$18:$A$25,1)))</f>
        <v/>
      </c>
      <c r="T11" s="18">
        <f>IF(OR(C11="",P11="",Q11="",R11="",D11=""),"",ROUND(C11*Guide!$B$9+P11*Guide!$B$10+S11*Guide!$B$11+Q11*Guide!$B$12+(100-R11)*Guide!$B$13,1))</f>
        <v/>
      </c>
      <c r="U11" s="18">
        <f>IF(T11="","",IF(T11&gt;=Guide!$B$15,"PRIORITY","Low"))</f>
        <v/>
      </c>
    </row>
    <row r="12">
      <c r="A12" s="19" t="n"/>
      <c r="B12" s="19" t="n"/>
      <c r="C12" s="19" t="n"/>
      <c r="D12" s="20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21" t="n"/>
      <c r="O12" s="19" t="n"/>
      <c r="P12" s="19" t="n"/>
      <c r="Q12" s="19" t="n"/>
      <c r="R12" s="19" t="n"/>
      <c r="S12" s="18">
        <f>IF(D12="","",INDEX(Guide!$B$18:$B$25,MATCH(D12,Guide!$A$18:$A$25,1)))</f>
        <v/>
      </c>
      <c r="T12" s="18">
        <f>IF(OR(C12="",P12="",Q12="",R12="",D12=""),"",ROUND(C12*Guide!$B$9+P12*Guide!$B$10+S12*Guide!$B$11+Q12*Guide!$B$12+(100-R12)*Guide!$B$13,1))</f>
        <v/>
      </c>
      <c r="U12" s="18">
        <f>IF(T12="","",IF(T12&gt;=Guide!$B$15,"PRIORITY","Low"))</f>
        <v/>
      </c>
    </row>
    <row r="13">
      <c r="A13" s="19" t="n"/>
      <c r="B13" s="19" t="n"/>
      <c r="C13" s="19" t="n"/>
      <c r="D13" s="20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21" t="n"/>
      <c r="O13" s="19" t="n"/>
      <c r="P13" s="19" t="n"/>
      <c r="Q13" s="19" t="n"/>
      <c r="R13" s="19" t="n"/>
      <c r="S13" s="18">
        <f>IF(D13="","",INDEX(Guide!$B$18:$B$25,MATCH(D13,Guide!$A$18:$A$25,1)))</f>
        <v/>
      </c>
      <c r="T13" s="18">
        <f>IF(OR(C13="",P13="",Q13="",R13="",D13=""),"",ROUND(C13*Guide!$B$9+P13*Guide!$B$10+S13*Guide!$B$11+Q13*Guide!$B$12+(100-R13)*Guide!$B$13,1))</f>
        <v/>
      </c>
      <c r="U13" s="18">
        <f>IF(T13="","",IF(T13&gt;=Guide!$B$15,"PRIORITY","Low"))</f>
        <v/>
      </c>
    </row>
    <row r="14">
      <c r="A14" s="19" t="n"/>
      <c r="B14" s="19" t="n"/>
      <c r="C14" s="19" t="n"/>
      <c r="D14" s="20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21" t="n"/>
      <c r="O14" s="19" t="n"/>
      <c r="P14" s="19" t="n"/>
      <c r="Q14" s="19" t="n"/>
      <c r="R14" s="19" t="n"/>
      <c r="S14" s="18">
        <f>IF(D14="","",INDEX(Guide!$B$18:$B$25,MATCH(D14,Guide!$A$18:$A$25,1)))</f>
        <v/>
      </c>
      <c r="T14" s="18">
        <f>IF(OR(C14="",P14="",Q14="",R14="",D14=""),"",ROUND(C14*Guide!$B$9+P14*Guide!$B$10+S14*Guide!$B$11+Q14*Guide!$B$12+(100-R14)*Guide!$B$13,1))</f>
        <v/>
      </c>
      <c r="U14" s="18">
        <f>IF(T14="","",IF(T14&gt;=Guide!$B$15,"PRIORITY","Low"))</f>
        <v/>
      </c>
    </row>
    <row r="15">
      <c r="A15" s="19" t="n"/>
      <c r="B15" s="19" t="n"/>
      <c r="C15" s="19" t="n"/>
      <c r="D15" s="20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21" t="n"/>
      <c r="O15" s="19" t="n"/>
      <c r="P15" s="19" t="n"/>
      <c r="Q15" s="19" t="n"/>
      <c r="R15" s="19" t="n"/>
      <c r="S15" s="18">
        <f>IF(D15="","",INDEX(Guide!$B$18:$B$25,MATCH(D15,Guide!$A$18:$A$25,1)))</f>
        <v/>
      </c>
      <c r="T15" s="18">
        <f>IF(OR(C15="",P15="",Q15="",R15="",D15=""),"",ROUND(C15*Guide!$B$9+P15*Guide!$B$10+S15*Guide!$B$11+Q15*Guide!$B$12+(100-R15)*Guide!$B$13,1))</f>
        <v/>
      </c>
      <c r="U15" s="18">
        <f>IF(T15="","",IF(T15&gt;=Guide!$B$15,"PRIORITY","Low"))</f>
        <v/>
      </c>
    </row>
    <row r="16">
      <c r="A16" s="19" t="n"/>
      <c r="B16" s="19" t="n"/>
      <c r="C16" s="19" t="n"/>
      <c r="D16" s="20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21" t="n"/>
      <c r="O16" s="19" t="n"/>
      <c r="P16" s="19" t="n"/>
      <c r="Q16" s="19" t="n"/>
      <c r="R16" s="19" t="n"/>
      <c r="S16" s="18">
        <f>IF(D16="","",INDEX(Guide!$B$18:$B$25,MATCH(D16,Guide!$A$18:$A$25,1)))</f>
        <v/>
      </c>
      <c r="T16" s="18">
        <f>IF(OR(C16="",P16="",Q16="",R16="",D16=""),"",ROUND(C16*Guide!$B$9+P16*Guide!$B$10+S16*Guide!$B$11+Q16*Guide!$B$12+(100-R16)*Guide!$B$13,1))</f>
        <v/>
      </c>
      <c r="U16" s="18">
        <f>IF(T16="","",IF(T16&gt;=Guide!$B$15,"PRIORITY","Low"))</f>
        <v/>
      </c>
    </row>
    <row r="17">
      <c r="A17" s="19" t="n"/>
      <c r="B17" s="19" t="n"/>
      <c r="C17" s="19" t="n"/>
      <c r="D17" s="20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21" t="n"/>
      <c r="O17" s="19" t="n"/>
      <c r="P17" s="19" t="n"/>
      <c r="Q17" s="19" t="n"/>
      <c r="R17" s="19" t="n"/>
      <c r="S17" s="18">
        <f>IF(D17="","",INDEX(Guide!$B$18:$B$25,MATCH(D17,Guide!$A$18:$A$25,1)))</f>
        <v/>
      </c>
      <c r="T17" s="18">
        <f>IF(OR(C17="",P17="",Q17="",R17="",D17=""),"",ROUND(C17*Guide!$B$9+P17*Guide!$B$10+S17*Guide!$B$11+Q17*Guide!$B$12+(100-R17)*Guide!$B$13,1))</f>
        <v/>
      </c>
      <c r="U17" s="18">
        <f>IF(T17="","",IF(T17&gt;=Guide!$B$15,"PRIORITY","Low"))</f>
        <v/>
      </c>
    </row>
    <row r="18">
      <c r="A18" s="19" t="n"/>
      <c r="B18" s="19" t="n"/>
      <c r="C18" s="19" t="n"/>
      <c r="D18" s="20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21" t="n"/>
      <c r="O18" s="19" t="n"/>
      <c r="P18" s="19" t="n"/>
      <c r="Q18" s="19" t="n"/>
      <c r="R18" s="19" t="n"/>
      <c r="S18" s="18">
        <f>IF(D18="","",INDEX(Guide!$B$18:$B$25,MATCH(D18,Guide!$A$18:$A$25,1)))</f>
        <v/>
      </c>
      <c r="T18" s="18">
        <f>IF(OR(C18="",P18="",Q18="",R18="",D18=""),"",ROUND(C18*Guide!$B$9+P18*Guide!$B$10+S18*Guide!$B$11+Q18*Guide!$B$12+(100-R18)*Guide!$B$13,1))</f>
        <v/>
      </c>
      <c r="U18" s="18">
        <f>IF(T18="","",IF(T18&gt;=Guide!$B$15,"PRIORITY","Low"))</f>
        <v/>
      </c>
    </row>
    <row r="19">
      <c r="A19" s="19" t="n"/>
      <c r="B19" s="19" t="n"/>
      <c r="C19" s="19" t="n"/>
      <c r="D19" s="20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21" t="n"/>
      <c r="O19" s="19" t="n"/>
      <c r="P19" s="19" t="n"/>
      <c r="Q19" s="19" t="n"/>
      <c r="R19" s="19" t="n"/>
      <c r="S19" s="18">
        <f>IF(D19="","",INDEX(Guide!$B$18:$B$25,MATCH(D19,Guide!$A$18:$A$25,1)))</f>
        <v/>
      </c>
      <c r="T19" s="18">
        <f>IF(OR(C19="",P19="",Q19="",R19="",D19=""),"",ROUND(C19*Guide!$B$9+P19*Guide!$B$10+S19*Guide!$B$11+Q19*Guide!$B$12+(100-R19)*Guide!$B$13,1))</f>
        <v/>
      </c>
      <c r="U19" s="18">
        <f>IF(T19="","",IF(T19&gt;=Guide!$B$15,"PRIORITY","Low"))</f>
        <v/>
      </c>
    </row>
    <row r="20">
      <c r="A20" s="19" t="n"/>
      <c r="B20" s="19" t="n"/>
      <c r="C20" s="19" t="n"/>
      <c r="D20" s="20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21" t="n"/>
      <c r="O20" s="19" t="n"/>
      <c r="P20" s="19" t="n"/>
      <c r="Q20" s="19" t="n"/>
      <c r="R20" s="19" t="n"/>
      <c r="S20" s="18">
        <f>IF(D20="","",INDEX(Guide!$B$18:$B$25,MATCH(D20,Guide!$A$18:$A$25,1)))</f>
        <v/>
      </c>
      <c r="T20" s="18">
        <f>IF(OR(C20="",P20="",Q20="",R20="",D20=""),"",ROUND(C20*Guide!$B$9+P20*Guide!$B$10+S20*Guide!$B$11+Q20*Guide!$B$12+(100-R20)*Guide!$B$13,1))</f>
        <v/>
      </c>
      <c r="U20" s="18">
        <f>IF(T20="","",IF(T20&gt;=Guide!$B$15,"PRIORITY","Low"))</f>
        <v/>
      </c>
    </row>
    <row r="21">
      <c r="A21" s="19" t="n"/>
      <c r="B21" s="19" t="n"/>
      <c r="C21" s="19" t="n"/>
      <c r="D21" s="20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21" t="n"/>
      <c r="O21" s="19" t="n"/>
      <c r="P21" s="19" t="n"/>
      <c r="Q21" s="19" t="n"/>
      <c r="R21" s="19" t="n"/>
      <c r="S21" s="18">
        <f>IF(D21="","",INDEX(Guide!$B$18:$B$25,MATCH(D21,Guide!$A$18:$A$25,1)))</f>
        <v/>
      </c>
      <c r="T21" s="18">
        <f>IF(OR(C21="",P21="",Q21="",R21="",D21=""),"",ROUND(C21*Guide!$B$9+P21*Guide!$B$10+S21*Guide!$B$11+Q21*Guide!$B$12+(100-R21)*Guide!$B$13,1))</f>
        <v/>
      </c>
      <c r="U21" s="18">
        <f>IF(T21="","",IF(T21&gt;=Guide!$B$15,"PRIORITY","Low"))</f>
        <v/>
      </c>
    </row>
    <row r="22">
      <c r="A22" s="19" t="n"/>
      <c r="B22" s="19" t="n"/>
      <c r="C22" s="19" t="n"/>
      <c r="D22" s="20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21" t="n"/>
      <c r="O22" s="19" t="n"/>
      <c r="P22" s="19" t="n"/>
      <c r="Q22" s="19" t="n"/>
      <c r="R22" s="19" t="n"/>
      <c r="S22" s="18">
        <f>IF(D22="","",INDEX(Guide!$B$18:$B$25,MATCH(D22,Guide!$A$18:$A$25,1)))</f>
        <v/>
      </c>
      <c r="T22" s="18">
        <f>IF(OR(C22="",P22="",Q22="",R22="",D22=""),"",ROUND(C22*Guide!$B$9+P22*Guide!$B$10+S22*Guide!$B$11+Q22*Guide!$B$12+(100-R22)*Guide!$B$13,1))</f>
        <v/>
      </c>
      <c r="U22" s="18">
        <f>IF(T22="","",IF(T22&gt;=Guide!$B$15,"PRIORITY","Low"))</f>
        <v/>
      </c>
    </row>
    <row r="23">
      <c r="A23" s="19" t="n"/>
      <c r="B23" s="19" t="n"/>
      <c r="C23" s="19" t="n"/>
      <c r="D23" s="20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21" t="n"/>
      <c r="O23" s="19" t="n"/>
      <c r="P23" s="19" t="n"/>
      <c r="Q23" s="19" t="n"/>
      <c r="R23" s="19" t="n"/>
      <c r="S23" s="18">
        <f>IF(D23="","",INDEX(Guide!$B$18:$B$25,MATCH(D23,Guide!$A$18:$A$25,1)))</f>
        <v/>
      </c>
      <c r="T23" s="18">
        <f>IF(OR(C23="",P23="",Q23="",R23="",D23=""),"",ROUND(C23*Guide!$B$9+P23*Guide!$B$10+S23*Guide!$B$11+Q23*Guide!$B$12+(100-R23)*Guide!$B$13,1))</f>
        <v/>
      </c>
      <c r="U23" s="18">
        <f>IF(T23="","",IF(T23&gt;=Guide!$B$15,"PRIORITY","Low"))</f>
        <v/>
      </c>
    </row>
    <row r="24">
      <c r="A24" s="19" t="n"/>
      <c r="B24" s="19" t="n"/>
      <c r="C24" s="19" t="n"/>
      <c r="D24" s="20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21" t="n"/>
      <c r="O24" s="19" t="n"/>
      <c r="P24" s="19" t="n"/>
      <c r="Q24" s="19" t="n"/>
      <c r="R24" s="19" t="n"/>
      <c r="S24" s="18">
        <f>IF(D24="","",INDEX(Guide!$B$18:$B$25,MATCH(D24,Guide!$A$18:$A$25,1)))</f>
        <v/>
      </c>
      <c r="T24" s="18">
        <f>IF(OR(C24="",P24="",Q24="",R24="",D24=""),"",ROUND(C24*Guide!$B$9+P24*Guide!$B$10+S24*Guide!$B$11+Q24*Guide!$B$12+(100-R24)*Guide!$B$13,1))</f>
        <v/>
      </c>
      <c r="U24" s="18">
        <f>IF(T24="","",IF(T24&gt;=Guide!$B$15,"PRIORITY","Low"))</f>
        <v/>
      </c>
    </row>
    <row r="25">
      <c r="A25" s="19" t="n"/>
      <c r="B25" s="19" t="n"/>
      <c r="C25" s="19" t="n"/>
      <c r="D25" s="20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21" t="n"/>
      <c r="O25" s="19" t="n"/>
      <c r="P25" s="19" t="n"/>
      <c r="Q25" s="19" t="n"/>
      <c r="R25" s="19" t="n"/>
      <c r="S25" s="18">
        <f>IF(D25="","",INDEX(Guide!$B$18:$B$25,MATCH(D25,Guide!$A$18:$A$25,1)))</f>
        <v/>
      </c>
      <c r="T25" s="18">
        <f>IF(OR(C25="",P25="",Q25="",R25="",D25=""),"",ROUND(C25*Guide!$B$9+P25*Guide!$B$10+S25*Guide!$B$11+Q25*Guide!$B$12+(100-R25)*Guide!$B$13,1))</f>
        <v/>
      </c>
      <c r="U25" s="18">
        <f>IF(T25="","",IF(T25&gt;=Guide!$B$15,"PRIORITY","Low"))</f>
        <v/>
      </c>
    </row>
    <row r="26">
      <c r="A26" s="19" t="n"/>
      <c r="B26" s="19" t="n"/>
      <c r="C26" s="19" t="n"/>
      <c r="D26" s="20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21" t="n"/>
      <c r="O26" s="19" t="n"/>
      <c r="P26" s="19" t="n"/>
      <c r="Q26" s="19" t="n"/>
      <c r="R26" s="19" t="n"/>
      <c r="S26" s="18">
        <f>IF(D26="","",INDEX(Guide!$B$18:$B$25,MATCH(D26,Guide!$A$18:$A$25,1)))</f>
        <v/>
      </c>
      <c r="T26" s="18">
        <f>IF(OR(C26="",P26="",Q26="",R26="",D26=""),"",ROUND(C26*Guide!$B$9+P26*Guide!$B$10+S26*Guide!$B$11+Q26*Guide!$B$12+(100-R26)*Guide!$B$13,1))</f>
        <v/>
      </c>
      <c r="U26" s="18">
        <f>IF(T26="","",IF(T26&gt;=Guide!$B$15,"PRIORITY","Low"))</f>
        <v/>
      </c>
    </row>
    <row r="27">
      <c r="A27" s="19" t="n"/>
      <c r="B27" s="19" t="n"/>
      <c r="C27" s="19" t="n"/>
      <c r="D27" s="20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21" t="n"/>
      <c r="O27" s="19" t="n"/>
      <c r="P27" s="19" t="n"/>
      <c r="Q27" s="19" t="n"/>
      <c r="R27" s="19" t="n"/>
      <c r="S27" s="18">
        <f>IF(D27="","",INDEX(Guide!$B$18:$B$25,MATCH(D27,Guide!$A$18:$A$25,1)))</f>
        <v/>
      </c>
      <c r="T27" s="18">
        <f>IF(OR(C27="",P27="",Q27="",R27="",D27=""),"",ROUND(C27*Guide!$B$9+P27*Guide!$B$10+S27*Guide!$B$11+Q27*Guide!$B$12+(100-R27)*Guide!$B$13,1))</f>
        <v/>
      </c>
      <c r="U27" s="18">
        <f>IF(T27="","",IF(T27&gt;=Guide!$B$15,"PRIORITY","Low"))</f>
        <v/>
      </c>
    </row>
    <row r="28">
      <c r="A28" s="19" t="n"/>
      <c r="B28" s="19" t="n"/>
      <c r="C28" s="19" t="n"/>
      <c r="D28" s="20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21" t="n"/>
      <c r="O28" s="19" t="n"/>
      <c r="P28" s="19" t="n"/>
      <c r="Q28" s="19" t="n"/>
      <c r="R28" s="19" t="n"/>
      <c r="S28" s="18">
        <f>IF(D28="","",INDEX(Guide!$B$18:$B$25,MATCH(D28,Guide!$A$18:$A$25,1)))</f>
        <v/>
      </c>
      <c r="T28" s="18">
        <f>IF(OR(C28="",P28="",Q28="",R28="",D28=""),"",ROUND(C28*Guide!$B$9+P28*Guide!$B$10+S28*Guide!$B$11+Q28*Guide!$B$12+(100-R28)*Guide!$B$13,1))</f>
        <v/>
      </c>
      <c r="U28" s="18">
        <f>IF(T28="","",IF(T28&gt;=Guide!$B$15,"PRIORITY","Low"))</f>
        <v/>
      </c>
    </row>
    <row r="29">
      <c r="A29" s="19" t="n"/>
      <c r="B29" s="19" t="n"/>
      <c r="C29" s="19" t="n"/>
      <c r="D29" s="20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21" t="n"/>
      <c r="O29" s="19" t="n"/>
      <c r="P29" s="19" t="n"/>
      <c r="Q29" s="19" t="n"/>
      <c r="R29" s="19" t="n"/>
      <c r="S29" s="18">
        <f>IF(D29="","",INDEX(Guide!$B$18:$B$25,MATCH(D29,Guide!$A$18:$A$25,1)))</f>
        <v/>
      </c>
      <c r="T29" s="18">
        <f>IF(OR(C29="",P29="",Q29="",R29="",D29=""),"",ROUND(C29*Guide!$B$9+P29*Guide!$B$10+S29*Guide!$B$11+Q29*Guide!$B$12+(100-R29)*Guide!$B$13,1))</f>
        <v/>
      </c>
      <c r="U29" s="18">
        <f>IF(T29="","",IF(T29&gt;=Guide!$B$15,"PRIORITY","Low"))</f>
        <v/>
      </c>
    </row>
    <row r="30">
      <c r="A30" s="19" t="n"/>
      <c r="B30" s="19" t="n"/>
      <c r="C30" s="19" t="n"/>
      <c r="D30" s="20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21" t="n"/>
      <c r="O30" s="19" t="n"/>
      <c r="P30" s="19" t="n"/>
      <c r="Q30" s="19" t="n"/>
      <c r="R30" s="19" t="n"/>
      <c r="S30" s="18">
        <f>IF(D30="","",INDEX(Guide!$B$18:$B$25,MATCH(D30,Guide!$A$18:$A$25,1)))</f>
        <v/>
      </c>
      <c r="T30" s="18">
        <f>IF(OR(C30="",P30="",Q30="",R30="",D30=""),"",ROUND(C30*Guide!$B$9+P30*Guide!$B$10+S30*Guide!$B$11+Q30*Guide!$B$12+(100-R30)*Guide!$B$13,1))</f>
        <v/>
      </c>
      <c r="U30" s="18">
        <f>IF(T30="","",IF(T30&gt;=Guide!$B$15,"PRIORITY","Low"))</f>
        <v/>
      </c>
    </row>
    <row r="31">
      <c r="A31" s="19" t="n"/>
      <c r="B31" s="19" t="n"/>
      <c r="C31" s="19" t="n"/>
      <c r="D31" s="20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21" t="n"/>
      <c r="O31" s="19" t="n"/>
      <c r="P31" s="19" t="n"/>
      <c r="Q31" s="19" t="n"/>
      <c r="R31" s="19" t="n"/>
      <c r="S31" s="18">
        <f>IF(D31="","",INDEX(Guide!$B$18:$B$25,MATCH(D31,Guide!$A$18:$A$25,1)))</f>
        <v/>
      </c>
      <c r="T31" s="18">
        <f>IF(OR(C31="",P31="",Q31="",R31="",D31=""),"",ROUND(C31*Guide!$B$9+P31*Guide!$B$10+S31*Guide!$B$11+Q31*Guide!$B$12+(100-R31)*Guide!$B$13,1))</f>
        <v/>
      </c>
      <c r="U31" s="18">
        <f>IF(T31="","",IF(T31&gt;=Guide!$B$15,"PRIORITY","Low"))</f>
        <v/>
      </c>
    </row>
    <row r="32">
      <c r="A32" s="19" t="n"/>
      <c r="B32" s="19" t="n"/>
      <c r="C32" s="19" t="n"/>
      <c r="D32" s="20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21" t="n"/>
      <c r="O32" s="19" t="n"/>
      <c r="P32" s="19" t="n"/>
      <c r="Q32" s="19" t="n"/>
      <c r="R32" s="19" t="n"/>
      <c r="S32" s="18">
        <f>IF(D32="","",INDEX(Guide!$B$18:$B$25,MATCH(D32,Guide!$A$18:$A$25,1)))</f>
        <v/>
      </c>
      <c r="T32" s="18">
        <f>IF(OR(C32="",P32="",Q32="",R32="",D32=""),"",ROUND(C32*Guide!$B$9+P32*Guide!$B$10+S32*Guide!$B$11+Q32*Guide!$B$12+(100-R32)*Guide!$B$13,1))</f>
        <v/>
      </c>
      <c r="U32" s="18">
        <f>IF(T32="","",IF(T32&gt;=Guide!$B$15,"PRIORITY","Low"))</f>
        <v/>
      </c>
    </row>
    <row r="33">
      <c r="A33" s="19" t="n"/>
      <c r="B33" s="19" t="n"/>
      <c r="C33" s="19" t="n"/>
      <c r="D33" s="20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21" t="n"/>
      <c r="O33" s="19" t="n"/>
      <c r="P33" s="19" t="n"/>
      <c r="Q33" s="19" t="n"/>
      <c r="R33" s="19" t="n"/>
      <c r="S33" s="18">
        <f>IF(D33="","",INDEX(Guide!$B$18:$B$25,MATCH(D33,Guide!$A$18:$A$25,1)))</f>
        <v/>
      </c>
      <c r="T33" s="18">
        <f>IF(OR(C33="",P33="",Q33="",R33="",D33=""),"",ROUND(C33*Guide!$B$9+P33*Guide!$B$10+S33*Guide!$B$11+Q33*Guide!$B$12+(100-R33)*Guide!$B$13,1))</f>
        <v/>
      </c>
      <c r="U33" s="18">
        <f>IF(T33="","",IF(T33&gt;=Guide!$B$15,"PRIORITY","Low"))</f>
        <v/>
      </c>
    </row>
    <row r="34">
      <c r="A34" s="19" t="n"/>
      <c r="B34" s="19" t="n"/>
      <c r="C34" s="19" t="n"/>
      <c r="D34" s="20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21" t="n"/>
      <c r="O34" s="19" t="n"/>
      <c r="P34" s="19" t="n"/>
      <c r="Q34" s="19" t="n"/>
      <c r="R34" s="19" t="n"/>
      <c r="S34" s="18">
        <f>IF(D34="","",INDEX(Guide!$B$18:$B$25,MATCH(D34,Guide!$A$18:$A$25,1)))</f>
        <v/>
      </c>
      <c r="T34" s="18">
        <f>IF(OR(C34="",P34="",Q34="",R34="",D34=""),"",ROUND(C34*Guide!$B$9+P34*Guide!$B$10+S34*Guide!$B$11+Q34*Guide!$B$12+(100-R34)*Guide!$B$13,1))</f>
        <v/>
      </c>
      <c r="U34" s="18">
        <f>IF(T34="","",IF(T34&gt;=Guide!$B$15,"PRIORITY","Low"))</f>
        <v/>
      </c>
    </row>
    <row r="35">
      <c r="A35" s="19" t="n"/>
      <c r="B35" s="19" t="n"/>
      <c r="C35" s="19" t="n"/>
      <c r="D35" s="20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21" t="n"/>
      <c r="O35" s="19" t="n"/>
      <c r="P35" s="19" t="n"/>
      <c r="Q35" s="19" t="n"/>
      <c r="R35" s="19" t="n"/>
      <c r="S35" s="18">
        <f>IF(D35="","",INDEX(Guide!$B$18:$B$25,MATCH(D35,Guide!$A$18:$A$25,1)))</f>
        <v/>
      </c>
      <c r="T35" s="18">
        <f>IF(OR(C35="",P35="",Q35="",R35="",D35=""),"",ROUND(C35*Guide!$B$9+P35*Guide!$B$10+S35*Guide!$B$11+Q35*Guide!$B$12+(100-R35)*Guide!$B$13,1))</f>
        <v/>
      </c>
      <c r="U35" s="18">
        <f>IF(T35="","",IF(T35&gt;=Guide!$B$15,"PRIORITY","Low"))</f>
        <v/>
      </c>
    </row>
    <row r="36">
      <c r="A36" s="19" t="n"/>
      <c r="B36" s="19" t="n"/>
      <c r="C36" s="19" t="n"/>
      <c r="D36" s="20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21" t="n"/>
      <c r="O36" s="19" t="n"/>
      <c r="P36" s="19" t="n"/>
      <c r="Q36" s="19" t="n"/>
      <c r="R36" s="19" t="n"/>
      <c r="S36" s="18">
        <f>IF(D36="","",INDEX(Guide!$B$18:$B$25,MATCH(D36,Guide!$A$18:$A$25,1)))</f>
        <v/>
      </c>
      <c r="T36" s="18">
        <f>IF(OR(C36="",P36="",Q36="",R36="",D36=""),"",ROUND(C36*Guide!$B$9+P36*Guide!$B$10+S36*Guide!$B$11+Q36*Guide!$B$12+(100-R36)*Guide!$B$13,1))</f>
        <v/>
      </c>
      <c r="U36" s="18">
        <f>IF(T36="","",IF(T36&gt;=Guide!$B$15,"PRIORITY","Low"))</f>
        <v/>
      </c>
    </row>
    <row r="37">
      <c r="A37" s="19" t="n"/>
      <c r="B37" s="19" t="n"/>
      <c r="C37" s="19" t="n"/>
      <c r="D37" s="20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21" t="n"/>
      <c r="O37" s="19" t="n"/>
      <c r="P37" s="19" t="n"/>
      <c r="Q37" s="19" t="n"/>
      <c r="R37" s="19" t="n"/>
      <c r="S37" s="18">
        <f>IF(D37="","",INDEX(Guide!$B$18:$B$25,MATCH(D37,Guide!$A$18:$A$25,1)))</f>
        <v/>
      </c>
      <c r="T37" s="18">
        <f>IF(OR(C37="",P37="",Q37="",R37="",D37=""),"",ROUND(C37*Guide!$B$9+P37*Guide!$B$10+S37*Guide!$B$11+Q37*Guide!$B$12+(100-R37)*Guide!$B$13,1))</f>
        <v/>
      </c>
      <c r="U37" s="18">
        <f>IF(T37="","",IF(T37&gt;=Guide!$B$15,"PRIORITY","Low"))</f>
        <v/>
      </c>
    </row>
    <row r="38">
      <c r="A38" s="19" t="n"/>
      <c r="B38" s="19" t="n"/>
      <c r="C38" s="19" t="n"/>
      <c r="D38" s="20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21" t="n"/>
      <c r="O38" s="19" t="n"/>
      <c r="P38" s="19" t="n"/>
      <c r="Q38" s="19" t="n"/>
      <c r="R38" s="19" t="n"/>
      <c r="S38" s="18">
        <f>IF(D38="","",INDEX(Guide!$B$18:$B$25,MATCH(D38,Guide!$A$18:$A$25,1)))</f>
        <v/>
      </c>
      <c r="T38" s="18">
        <f>IF(OR(C38="",P38="",Q38="",R38="",D38=""),"",ROUND(C38*Guide!$B$9+P38*Guide!$B$10+S38*Guide!$B$11+Q38*Guide!$B$12+(100-R38)*Guide!$B$13,1))</f>
        <v/>
      </c>
      <c r="U38" s="18">
        <f>IF(T38="","",IF(T38&gt;=Guide!$B$15,"PRIORITY","Low"))</f>
        <v/>
      </c>
    </row>
    <row r="39">
      <c r="A39" s="19" t="n"/>
      <c r="B39" s="19" t="n"/>
      <c r="C39" s="19" t="n"/>
      <c r="D39" s="20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21" t="n"/>
      <c r="O39" s="19" t="n"/>
      <c r="P39" s="19" t="n"/>
      <c r="Q39" s="19" t="n"/>
      <c r="R39" s="19" t="n"/>
      <c r="S39" s="18">
        <f>IF(D39="","",INDEX(Guide!$B$18:$B$25,MATCH(D39,Guide!$A$18:$A$25,1)))</f>
        <v/>
      </c>
      <c r="T39" s="18">
        <f>IF(OR(C39="",P39="",Q39="",R39="",D39=""),"",ROUND(C39*Guide!$B$9+P39*Guide!$B$10+S39*Guide!$B$11+Q39*Guide!$B$12+(100-R39)*Guide!$B$13,1))</f>
        <v/>
      </c>
      <c r="U39" s="18">
        <f>IF(T39="","",IF(T39&gt;=Guide!$B$15,"PRIORITY","Low"))</f>
        <v/>
      </c>
    </row>
    <row r="40">
      <c r="A40" s="19" t="n"/>
      <c r="B40" s="19" t="n"/>
      <c r="C40" s="19" t="n"/>
      <c r="D40" s="20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21" t="n"/>
      <c r="O40" s="19" t="n"/>
      <c r="P40" s="19" t="n"/>
      <c r="Q40" s="19" t="n"/>
      <c r="R40" s="19" t="n"/>
      <c r="S40" s="18">
        <f>IF(D40="","",INDEX(Guide!$B$18:$B$25,MATCH(D40,Guide!$A$18:$A$25,1)))</f>
        <v/>
      </c>
      <c r="T40" s="18">
        <f>IF(OR(C40="",P40="",Q40="",R40="",D40=""),"",ROUND(C40*Guide!$B$9+P40*Guide!$B$10+S40*Guide!$B$11+Q40*Guide!$B$12+(100-R40)*Guide!$B$13,1))</f>
        <v/>
      </c>
      <c r="U40" s="18">
        <f>IF(T40="","",IF(T40&gt;=Guide!$B$15,"PRIORITY","Low"))</f>
        <v/>
      </c>
    </row>
    <row r="41">
      <c r="A41" s="19" t="n"/>
      <c r="B41" s="19" t="n"/>
      <c r="C41" s="19" t="n"/>
      <c r="D41" s="20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21" t="n"/>
      <c r="O41" s="19" t="n"/>
      <c r="P41" s="19" t="n"/>
      <c r="Q41" s="19" t="n"/>
      <c r="R41" s="19" t="n"/>
      <c r="S41" s="18">
        <f>IF(D41="","",INDEX(Guide!$B$18:$B$25,MATCH(D41,Guide!$A$18:$A$25,1)))</f>
        <v/>
      </c>
      <c r="T41" s="18">
        <f>IF(OR(C41="",P41="",Q41="",R41="",D41=""),"",ROUND(C41*Guide!$B$9+P41*Guide!$B$10+S41*Guide!$B$11+Q41*Guide!$B$12+(100-R41)*Guide!$B$13,1))</f>
        <v/>
      </c>
      <c r="U41" s="18">
        <f>IF(T41="","",IF(T41&gt;=Guide!$B$15,"PRIORITY","Low"))</f>
        <v/>
      </c>
    </row>
    <row r="42">
      <c r="A42" s="19" t="n"/>
      <c r="B42" s="19" t="n"/>
      <c r="C42" s="19" t="n"/>
      <c r="D42" s="20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21" t="n"/>
      <c r="O42" s="19" t="n"/>
      <c r="P42" s="19" t="n"/>
      <c r="Q42" s="19" t="n"/>
      <c r="R42" s="19" t="n"/>
      <c r="S42" s="18">
        <f>IF(D42="","",INDEX(Guide!$B$18:$B$25,MATCH(D42,Guide!$A$18:$A$25,1)))</f>
        <v/>
      </c>
      <c r="T42" s="18">
        <f>IF(OR(C42="",P42="",Q42="",R42="",D42=""),"",ROUND(C42*Guide!$B$9+P42*Guide!$B$10+S42*Guide!$B$11+Q42*Guide!$B$12+(100-R42)*Guide!$B$13,1))</f>
        <v/>
      </c>
      <c r="U42" s="18">
        <f>IF(T42="","",IF(T42&gt;=Guide!$B$15,"PRIORITY","Low"))</f>
        <v/>
      </c>
    </row>
    <row r="43">
      <c r="A43" s="19" t="n"/>
      <c r="B43" s="19" t="n"/>
      <c r="C43" s="19" t="n"/>
      <c r="D43" s="20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21" t="n"/>
      <c r="O43" s="19" t="n"/>
      <c r="P43" s="19" t="n"/>
      <c r="Q43" s="19" t="n"/>
      <c r="R43" s="19" t="n"/>
      <c r="S43" s="18">
        <f>IF(D43="","",INDEX(Guide!$B$18:$B$25,MATCH(D43,Guide!$A$18:$A$25,1)))</f>
        <v/>
      </c>
      <c r="T43" s="18">
        <f>IF(OR(C43="",P43="",Q43="",R43="",D43=""),"",ROUND(C43*Guide!$B$9+P43*Guide!$B$10+S43*Guide!$B$11+Q43*Guide!$B$12+(100-R43)*Guide!$B$13,1))</f>
        <v/>
      </c>
      <c r="U43" s="18">
        <f>IF(T43="","",IF(T43&gt;=Guide!$B$15,"PRIORITY","Low"))</f>
        <v/>
      </c>
    </row>
    <row r="44">
      <c r="A44" s="19" t="n"/>
      <c r="B44" s="19" t="n"/>
      <c r="C44" s="19" t="n"/>
      <c r="D44" s="20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21" t="n"/>
      <c r="O44" s="19" t="n"/>
      <c r="P44" s="19" t="n"/>
      <c r="Q44" s="19" t="n"/>
      <c r="R44" s="19" t="n"/>
      <c r="S44" s="18">
        <f>IF(D44="","",INDEX(Guide!$B$18:$B$25,MATCH(D44,Guide!$A$18:$A$25,1)))</f>
        <v/>
      </c>
      <c r="T44" s="18">
        <f>IF(OR(C44="",P44="",Q44="",R44="",D44=""),"",ROUND(C44*Guide!$B$9+P44*Guide!$B$10+S44*Guide!$B$11+Q44*Guide!$B$12+(100-R44)*Guide!$B$13,1))</f>
        <v/>
      </c>
      <c r="U44" s="18">
        <f>IF(T44="","",IF(T44&gt;=Guide!$B$15,"PRIORITY","Low"))</f>
        <v/>
      </c>
    </row>
    <row r="45">
      <c r="A45" s="19" t="n"/>
      <c r="B45" s="19" t="n"/>
      <c r="C45" s="19" t="n"/>
      <c r="D45" s="20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21" t="n"/>
      <c r="O45" s="19" t="n"/>
      <c r="P45" s="19" t="n"/>
      <c r="Q45" s="19" t="n"/>
      <c r="R45" s="19" t="n"/>
      <c r="S45" s="18">
        <f>IF(D45="","",INDEX(Guide!$B$18:$B$25,MATCH(D45,Guide!$A$18:$A$25,1)))</f>
        <v/>
      </c>
      <c r="T45" s="18">
        <f>IF(OR(C45="",P45="",Q45="",R45="",D45=""),"",ROUND(C45*Guide!$B$9+P45*Guide!$B$10+S45*Guide!$B$11+Q45*Guide!$B$12+(100-R45)*Guide!$B$13,1))</f>
        <v/>
      </c>
      <c r="U45" s="18">
        <f>IF(T45="","",IF(T45&gt;=Guide!$B$15,"PRIORITY","Low"))</f>
        <v/>
      </c>
    </row>
    <row r="46">
      <c r="A46" s="19" t="n"/>
      <c r="B46" s="19" t="n"/>
      <c r="C46" s="19" t="n"/>
      <c r="D46" s="20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21" t="n"/>
      <c r="O46" s="19" t="n"/>
      <c r="P46" s="19" t="n"/>
      <c r="Q46" s="19" t="n"/>
      <c r="R46" s="19" t="n"/>
      <c r="S46" s="18">
        <f>IF(D46="","",INDEX(Guide!$B$18:$B$25,MATCH(D46,Guide!$A$18:$A$25,1)))</f>
        <v/>
      </c>
      <c r="T46" s="18">
        <f>IF(OR(C46="",P46="",Q46="",R46="",D46=""),"",ROUND(C46*Guide!$B$9+P46*Guide!$B$10+S46*Guide!$B$11+Q46*Guide!$B$12+(100-R46)*Guide!$B$13,1))</f>
        <v/>
      </c>
      <c r="U46" s="18">
        <f>IF(T46="","",IF(T46&gt;=Guide!$B$15,"PRIORITY","Low"))</f>
        <v/>
      </c>
    </row>
    <row r="47">
      <c r="A47" s="19" t="n"/>
      <c r="B47" s="19" t="n"/>
      <c r="C47" s="19" t="n"/>
      <c r="D47" s="20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21" t="n"/>
      <c r="O47" s="19" t="n"/>
      <c r="P47" s="19" t="n"/>
      <c r="Q47" s="19" t="n"/>
      <c r="R47" s="19" t="n"/>
      <c r="S47" s="18">
        <f>IF(D47="","",INDEX(Guide!$B$18:$B$25,MATCH(D47,Guide!$A$18:$A$25,1)))</f>
        <v/>
      </c>
      <c r="T47" s="18">
        <f>IF(OR(C47="",P47="",Q47="",R47="",D47=""),"",ROUND(C47*Guide!$B$9+P47*Guide!$B$10+S47*Guide!$B$11+Q47*Guide!$B$12+(100-R47)*Guide!$B$13,1))</f>
        <v/>
      </c>
      <c r="U47" s="18">
        <f>IF(T47="","",IF(T47&gt;=Guide!$B$15,"PRIORITY","Low"))</f>
        <v/>
      </c>
    </row>
    <row r="48">
      <c r="A48" s="19" t="n"/>
      <c r="B48" s="19" t="n"/>
      <c r="C48" s="19" t="n"/>
      <c r="D48" s="20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21" t="n"/>
      <c r="O48" s="19" t="n"/>
      <c r="P48" s="19" t="n"/>
      <c r="Q48" s="19" t="n"/>
      <c r="R48" s="19" t="n"/>
      <c r="S48" s="18">
        <f>IF(D48="","",INDEX(Guide!$B$18:$B$25,MATCH(D48,Guide!$A$18:$A$25,1)))</f>
        <v/>
      </c>
      <c r="T48" s="18">
        <f>IF(OR(C48="",P48="",Q48="",R48="",D48=""),"",ROUND(C48*Guide!$B$9+P48*Guide!$B$10+S48*Guide!$B$11+Q48*Guide!$B$12+(100-R48)*Guide!$B$13,1))</f>
        <v/>
      </c>
      <c r="U48" s="18">
        <f>IF(T48="","",IF(T48&gt;=Guide!$B$15,"PRIORITY","Low"))</f>
        <v/>
      </c>
    </row>
    <row r="49">
      <c r="A49" s="19" t="n"/>
      <c r="B49" s="19" t="n"/>
      <c r="C49" s="19" t="n"/>
      <c r="D49" s="20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21" t="n"/>
      <c r="O49" s="19" t="n"/>
      <c r="P49" s="19" t="n"/>
      <c r="Q49" s="19" t="n"/>
      <c r="R49" s="19" t="n"/>
      <c r="S49" s="18">
        <f>IF(D49="","",INDEX(Guide!$B$18:$B$25,MATCH(D49,Guide!$A$18:$A$25,1)))</f>
        <v/>
      </c>
      <c r="T49" s="18">
        <f>IF(OR(C49="",P49="",Q49="",R49="",D49=""),"",ROUND(C49*Guide!$B$9+P49*Guide!$B$10+S49*Guide!$B$11+Q49*Guide!$B$12+(100-R49)*Guide!$B$13,1))</f>
        <v/>
      </c>
      <c r="U49" s="18">
        <f>IF(T49="","",IF(T49&gt;=Guide!$B$15,"PRIORITY","Low"))</f>
        <v/>
      </c>
    </row>
    <row r="50">
      <c r="A50" s="19" t="n"/>
      <c r="B50" s="19" t="n"/>
      <c r="C50" s="19" t="n"/>
      <c r="D50" s="20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21" t="n"/>
      <c r="O50" s="19" t="n"/>
      <c r="P50" s="19" t="n"/>
      <c r="Q50" s="19" t="n"/>
      <c r="R50" s="19" t="n"/>
      <c r="S50" s="18">
        <f>IF(D50="","",INDEX(Guide!$B$18:$B$25,MATCH(D50,Guide!$A$18:$A$25,1)))</f>
        <v/>
      </c>
      <c r="T50" s="18">
        <f>IF(OR(C50="",P50="",Q50="",R50="",D50=""),"",ROUND(C50*Guide!$B$9+P50*Guide!$B$10+S50*Guide!$B$11+Q50*Guide!$B$12+(100-R50)*Guide!$B$13,1))</f>
        <v/>
      </c>
      <c r="U50" s="18">
        <f>IF(T50="","",IF(T50&gt;=Guide!$B$15,"PRIORITY","Low"))</f>
        <v/>
      </c>
    </row>
    <row r="51">
      <c r="A51" s="19" t="n"/>
      <c r="B51" s="19" t="n"/>
      <c r="C51" s="19" t="n"/>
      <c r="D51" s="20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21" t="n"/>
      <c r="O51" s="19" t="n"/>
      <c r="P51" s="19" t="n"/>
      <c r="Q51" s="19" t="n"/>
      <c r="R51" s="19" t="n"/>
      <c r="S51" s="18">
        <f>IF(D51="","",INDEX(Guide!$B$18:$B$25,MATCH(D51,Guide!$A$18:$A$25,1)))</f>
        <v/>
      </c>
      <c r="T51" s="18">
        <f>IF(OR(C51="",P51="",Q51="",R51="",D51=""),"",ROUND(C51*Guide!$B$9+P51*Guide!$B$10+S51*Guide!$B$11+Q51*Guide!$B$12+(100-R51)*Guide!$B$13,1))</f>
        <v/>
      </c>
      <c r="U51" s="18">
        <f>IF(T51="","",IF(T51&gt;=Guide!$B$15,"PRIORITY","Low"))</f>
        <v/>
      </c>
    </row>
    <row r="52">
      <c r="A52" s="19" t="n"/>
      <c r="B52" s="19" t="n"/>
      <c r="C52" s="19" t="n"/>
      <c r="D52" s="20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21" t="n"/>
      <c r="O52" s="19" t="n"/>
      <c r="P52" s="19" t="n"/>
      <c r="Q52" s="19" t="n"/>
      <c r="R52" s="19" t="n"/>
      <c r="S52" s="18">
        <f>IF(D52="","",INDEX(Guide!$B$18:$B$25,MATCH(D52,Guide!$A$18:$A$25,1)))</f>
        <v/>
      </c>
      <c r="T52" s="18">
        <f>IF(OR(C52="",P52="",Q52="",R52="",D52=""),"",ROUND(C52*Guide!$B$9+P52*Guide!$B$10+S52*Guide!$B$11+Q52*Guide!$B$12+(100-R52)*Guide!$B$13,1))</f>
        <v/>
      </c>
      <c r="U52" s="18">
        <f>IF(T52="","",IF(T52&gt;=Guide!$B$15,"PRIORITY","Low"))</f>
        <v/>
      </c>
    </row>
    <row r="53">
      <c r="A53" s="19" t="n"/>
      <c r="B53" s="19" t="n"/>
      <c r="C53" s="19" t="n"/>
      <c r="D53" s="20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21" t="n"/>
      <c r="O53" s="19" t="n"/>
      <c r="P53" s="19" t="n"/>
      <c r="Q53" s="19" t="n"/>
      <c r="R53" s="19" t="n"/>
      <c r="S53" s="18">
        <f>IF(D53="","",INDEX(Guide!$B$18:$B$25,MATCH(D53,Guide!$A$18:$A$25,1)))</f>
        <v/>
      </c>
      <c r="T53" s="18">
        <f>IF(OR(C53="",P53="",Q53="",R53="",D53=""),"",ROUND(C53*Guide!$B$9+P53*Guide!$B$10+S53*Guide!$B$11+Q53*Guide!$B$12+(100-R53)*Guide!$B$13,1))</f>
        <v/>
      </c>
      <c r="U53" s="18">
        <f>IF(T53="","",IF(T53&gt;=Guide!$B$15,"PRIORITY","Low"))</f>
        <v/>
      </c>
    </row>
    <row r="54">
      <c r="A54" s="19" t="n"/>
      <c r="B54" s="19" t="n"/>
      <c r="C54" s="19" t="n"/>
      <c r="D54" s="20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21" t="n"/>
      <c r="O54" s="19" t="n"/>
      <c r="P54" s="19" t="n"/>
      <c r="Q54" s="19" t="n"/>
      <c r="R54" s="19" t="n"/>
      <c r="S54" s="18">
        <f>IF(D54="","",INDEX(Guide!$B$18:$B$25,MATCH(D54,Guide!$A$18:$A$25,1)))</f>
        <v/>
      </c>
      <c r="T54" s="18">
        <f>IF(OR(C54="",P54="",Q54="",R54="",D54=""),"",ROUND(C54*Guide!$B$9+P54*Guide!$B$10+S54*Guide!$B$11+Q54*Guide!$B$12+(100-R54)*Guide!$B$13,1))</f>
        <v/>
      </c>
      <c r="U54" s="18">
        <f>IF(T54="","",IF(T54&gt;=Guide!$B$15,"PRIORITY","Low"))</f>
        <v/>
      </c>
    </row>
    <row r="55">
      <c r="A55" s="19" t="n"/>
      <c r="B55" s="19" t="n"/>
      <c r="C55" s="19" t="n"/>
      <c r="D55" s="20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21" t="n"/>
      <c r="O55" s="19" t="n"/>
      <c r="P55" s="19" t="n"/>
      <c r="Q55" s="19" t="n"/>
      <c r="R55" s="19" t="n"/>
      <c r="S55" s="18">
        <f>IF(D55="","",INDEX(Guide!$B$18:$B$25,MATCH(D55,Guide!$A$18:$A$25,1)))</f>
        <v/>
      </c>
      <c r="T55" s="18">
        <f>IF(OR(C55="",P55="",Q55="",R55="",D55=""),"",ROUND(C55*Guide!$B$9+P55*Guide!$B$10+S55*Guide!$B$11+Q55*Guide!$B$12+(100-R55)*Guide!$B$13,1))</f>
        <v/>
      </c>
      <c r="U55" s="18">
        <f>IF(T55="","",IF(T55&gt;=Guide!$B$15,"PRIORITY","Low"))</f>
        <v/>
      </c>
    </row>
    <row r="56">
      <c r="A56" s="19" t="n"/>
      <c r="B56" s="19" t="n"/>
      <c r="C56" s="19" t="n"/>
      <c r="D56" s="20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21" t="n"/>
      <c r="O56" s="19" t="n"/>
      <c r="P56" s="19" t="n"/>
      <c r="Q56" s="19" t="n"/>
      <c r="R56" s="19" t="n"/>
      <c r="S56" s="18">
        <f>IF(D56="","",INDEX(Guide!$B$18:$B$25,MATCH(D56,Guide!$A$18:$A$25,1)))</f>
        <v/>
      </c>
      <c r="T56" s="18">
        <f>IF(OR(C56="",P56="",Q56="",R56="",D56=""),"",ROUND(C56*Guide!$B$9+P56*Guide!$B$10+S56*Guide!$B$11+Q56*Guide!$B$12+(100-R56)*Guide!$B$13,1))</f>
        <v/>
      </c>
      <c r="U56" s="18">
        <f>IF(T56="","",IF(T56&gt;=Guide!$B$15,"PRIORITY","Low"))</f>
        <v/>
      </c>
    </row>
    <row r="57">
      <c r="A57" s="19" t="n"/>
      <c r="B57" s="19" t="n"/>
      <c r="C57" s="19" t="n"/>
      <c r="D57" s="20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21" t="n"/>
      <c r="O57" s="19" t="n"/>
      <c r="P57" s="19" t="n"/>
      <c r="Q57" s="19" t="n"/>
      <c r="R57" s="19" t="n"/>
      <c r="S57" s="18">
        <f>IF(D57="","",INDEX(Guide!$B$18:$B$25,MATCH(D57,Guide!$A$18:$A$25,1)))</f>
        <v/>
      </c>
      <c r="T57" s="18">
        <f>IF(OR(C57="",P57="",Q57="",R57="",D57=""),"",ROUND(C57*Guide!$B$9+P57*Guide!$B$10+S57*Guide!$B$11+Q57*Guide!$B$12+(100-R57)*Guide!$B$13,1))</f>
        <v/>
      </c>
      <c r="U57" s="18">
        <f>IF(T57="","",IF(T57&gt;=Guide!$B$15,"PRIORITY","Low"))</f>
        <v/>
      </c>
    </row>
    <row r="58">
      <c r="A58" s="19" t="n"/>
      <c r="B58" s="19" t="n"/>
      <c r="C58" s="19" t="n"/>
      <c r="D58" s="20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21" t="n"/>
      <c r="O58" s="19" t="n"/>
      <c r="P58" s="19" t="n"/>
      <c r="Q58" s="19" t="n"/>
      <c r="R58" s="19" t="n"/>
      <c r="S58" s="18">
        <f>IF(D58="","",INDEX(Guide!$B$18:$B$25,MATCH(D58,Guide!$A$18:$A$25,1)))</f>
        <v/>
      </c>
      <c r="T58" s="18">
        <f>IF(OR(C58="",P58="",Q58="",R58="",D58=""),"",ROUND(C58*Guide!$B$9+P58*Guide!$B$10+S58*Guide!$B$11+Q58*Guide!$B$12+(100-R58)*Guide!$B$13,1))</f>
        <v/>
      </c>
      <c r="U58" s="18">
        <f>IF(T58="","",IF(T58&gt;=Guide!$B$15,"PRIORITY","Low"))</f>
        <v/>
      </c>
    </row>
    <row r="59">
      <c r="A59" s="19" t="n"/>
      <c r="B59" s="19" t="n"/>
      <c r="C59" s="19" t="n"/>
      <c r="D59" s="20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21" t="n"/>
      <c r="O59" s="19" t="n"/>
      <c r="P59" s="19" t="n"/>
      <c r="Q59" s="19" t="n"/>
      <c r="R59" s="19" t="n"/>
      <c r="S59" s="18">
        <f>IF(D59="","",INDEX(Guide!$B$18:$B$25,MATCH(D59,Guide!$A$18:$A$25,1)))</f>
        <v/>
      </c>
      <c r="T59" s="18">
        <f>IF(OR(C59="",P59="",Q59="",R59="",D59=""),"",ROUND(C59*Guide!$B$9+P59*Guide!$B$10+S59*Guide!$B$11+Q59*Guide!$B$12+(100-R59)*Guide!$B$13,1))</f>
        <v/>
      </c>
      <c r="U59" s="18">
        <f>IF(T59="","",IF(T59&gt;=Guide!$B$15,"PRIORITY","Low"))</f>
        <v/>
      </c>
    </row>
    <row r="60">
      <c r="A60" s="19" t="n"/>
      <c r="B60" s="19" t="n"/>
      <c r="C60" s="19" t="n"/>
      <c r="D60" s="20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21" t="n"/>
      <c r="O60" s="19" t="n"/>
      <c r="P60" s="19" t="n"/>
      <c r="Q60" s="19" t="n"/>
      <c r="R60" s="19" t="n"/>
      <c r="S60" s="18">
        <f>IF(D60="","",INDEX(Guide!$B$18:$B$25,MATCH(D60,Guide!$A$18:$A$25,1)))</f>
        <v/>
      </c>
      <c r="T60" s="18">
        <f>IF(OR(C60="",P60="",Q60="",R60="",D60=""),"",ROUND(C60*Guide!$B$9+P60*Guide!$B$10+S60*Guide!$B$11+Q60*Guide!$B$12+(100-R60)*Guide!$B$13,1))</f>
        <v/>
      </c>
      <c r="U60" s="18">
        <f>IF(T60="","",IF(T60&gt;=Guide!$B$15,"PRIORITY","Low"))</f>
        <v/>
      </c>
    </row>
    <row r="61">
      <c r="A61" s="19" t="n"/>
      <c r="B61" s="19" t="n"/>
      <c r="C61" s="19" t="n"/>
      <c r="D61" s="20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21" t="n"/>
      <c r="O61" s="19" t="n"/>
      <c r="P61" s="19" t="n"/>
      <c r="Q61" s="19" t="n"/>
      <c r="R61" s="19" t="n"/>
      <c r="S61" s="18">
        <f>IF(D61="","",INDEX(Guide!$B$18:$B$25,MATCH(D61,Guide!$A$18:$A$25,1)))</f>
        <v/>
      </c>
      <c r="T61" s="18">
        <f>IF(OR(C61="",P61="",Q61="",R61="",D61=""),"",ROUND(C61*Guide!$B$9+P61*Guide!$B$10+S61*Guide!$B$11+Q61*Guide!$B$12+(100-R61)*Guide!$B$13,1))</f>
        <v/>
      </c>
      <c r="U61" s="18">
        <f>IF(T61="","",IF(T61&gt;=Guide!$B$15,"PRIORITY","Low"))</f>
        <v/>
      </c>
    </row>
    <row r="62">
      <c r="A62" s="19" t="n"/>
      <c r="B62" s="19" t="n"/>
      <c r="C62" s="19" t="n"/>
      <c r="D62" s="20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21" t="n"/>
      <c r="O62" s="19" t="n"/>
      <c r="P62" s="19" t="n"/>
      <c r="Q62" s="19" t="n"/>
      <c r="R62" s="19" t="n"/>
      <c r="S62" s="18">
        <f>IF(D62="","",INDEX(Guide!$B$18:$B$25,MATCH(D62,Guide!$A$18:$A$25,1)))</f>
        <v/>
      </c>
      <c r="T62" s="18">
        <f>IF(OR(C62="",P62="",Q62="",R62="",D62=""),"",ROUND(C62*Guide!$B$9+P62*Guide!$B$10+S62*Guide!$B$11+Q62*Guide!$B$12+(100-R62)*Guide!$B$13,1))</f>
        <v/>
      </c>
      <c r="U62" s="18">
        <f>IF(T62="","",IF(T62&gt;=Guide!$B$15,"PRIORITY","Low"))</f>
        <v/>
      </c>
    </row>
    <row r="63">
      <c r="A63" s="19" t="n"/>
      <c r="B63" s="19" t="n"/>
      <c r="C63" s="19" t="n"/>
      <c r="D63" s="20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21" t="n"/>
      <c r="O63" s="19" t="n"/>
      <c r="P63" s="19" t="n"/>
      <c r="Q63" s="19" t="n"/>
      <c r="R63" s="19" t="n"/>
      <c r="S63" s="18">
        <f>IF(D63="","",INDEX(Guide!$B$18:$B$25,MATCH(D63,Guide!$A$18:$A$25,1)))</f>
        <v/>
      </c>
      <c r="T63" s="18">
        <f>IF(OR(C63="",P63="",Q63="",R63="",D63=""),"",ROUND(C63*Guide!$B$9+P63*Guide!$B$10+S63*Guide!$B$11+Q63*Guide!$B$12+(100-R63)*Guide!$B$13,1))</f>
        <v/>
      </c>
      <c r="U63" s="18">
        <f>IF(T63="","",IF(T63&gt;=Guide!$B$15,"PRIORITY","Low"))</f>
        <v/>
      </c>
    </row>
    <row r="64">
      <c r="A64" s="19" t="n"/>
      <c r="B64" s="19" t="n"/>
      <c r="C64" s="19" t="n"/>
      <c r="D64" s="20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21" t="n"/>
      <c r="O64" s="19" t="n"/>
      <c r="P64" s="19" t="n"/>
      <c r="Q64" s="19" t="n"/>
      <c r="R64" s="19" t="n"/>
      <c r="S64" s="18">
        <f>IF(D64="","",INDEX(Guide!$B$18:$B$25,MATCH(D64,Guide!$A$18:$A$25,1)))</f>
        <v/>
      </c>
      <c r="T64" s="18">
        <f>IF(OR(C64="",P64="",Q64="",R64="",D64=""),"",ROUND(C64*Guide!$B$9+P64*Guide!$B$10+S64*Guide!$B$11+Q64*Guide!$B$12+(100-R64)*Guide!$B$13,1))</f>
        <v/>
      </c>
      <c r="U64" s="18">
        <f>IF(T64="","",IF(T64&gt;=Guide!$B$15,"PRIORITY","Low"))</f>
        <v/>
      </c>
    </row>
    <row r="65">
      <c r="A65" s="19" t="n"/>
      <c r="B65" s="19" t="n"/>
      <c r="C65" s="19" t="n"/>
      <c r="D65" s="20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21" t="n"/>
      <c r="O65" s="19" t="n"/>
      <c r="P65" s="19" t="n"/>
      <c r="Q65" s="19" t="n"/>
      <c r="R65" s="19" t="n"/>
      <c r="S65" s="18">
        <f>IF(D65="","",INDEX(Guide!$B$18:$B$25,MATCH(D65,Guide!$A$18:$A$25,1)))</f>
        <v/>
      </c>
      <c r="T65" s="18">
        <f>IF(OR(C65="",P65="",Q65="",R65="",D65=""),"",ROUND(C65*Guide!$B$9+P65*Guide!$B$10+S65*Guide!$B$11+Q65*Guide!$B$12+(100-R65)*Guide!$B$13,1))</f>
        <v/>
      </c>
      <c r="U65" s="18">
        <f>IF(T65="","",IF(T65&gt;=Guide!$B$15,"PRIORITY","Low"))</f>
        <v/>
      </c>
    </row>
    <row r="66">
      <c r="A66" s="19" t="n"/>
      <c r="B66" s="19" t="n"/>
      <c r="C66" s="19" t="n"/>
      <c r="D66" s="20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21" t="n"/>
      <c r="O66" s="19" t="n"/>
      <c r="P66" s="19" t="n"/>
      <c r="Q66" s="19" t="n"/>
      <c r="R66" s="19" t="n"/>
      <c r="S66" s="18">
        <f>IF(D66="","",INDEX(Guide!$B$18:$B$25,MATCH(D66,Guide!$A$18:$A$25,1)))</f>
        <v/>
      </c>
      <c r="T66" s="18">
        <f>IF(OR(C66="",P66="",Q66="",R66="",D66=""),"",ROUND(C66*Guide!$B$9+P66*Guide!$B$10+S66*Guide!$B$11+Q66*Guide!$B$12+(100-R66)*Guide!$B$13,1))</f>
        <v/>
      </c>
      <c r="U66" s="18">
        <f>IF(T66="","",IF(T66&gt;=Guide!$B$15,"PRIORITY","Low"))</f>
        <v/>
      </c>
    </row>
    <row r="67">
      <c r="A67" s="19" t="n"/>
      <c r="B67" s="19" t="n"/>
      <c r="C67" s="19" t="n"/>
      <c r="D67" s="20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21" t="n"/>
      <c r="O67" s="19" t="n"/>
      <c r="P67" s="19" t="n"/>
      <c r="Q67" s="19" t="n"/>
      <c r="R67" s="19" t="n"/>
      <c r="S67" s="18">
        <f>IF(D67="","",INDEX(Guide!$B$18:$B$25,MATCH(D67,Guide!$A$18:$A$25,1)))</f>
        <v/>
      </c>
      <c r="T67" s="18">
        <f>IF(OR(C67="",P67="",Q67="",R67="",D67=""),"",ROUND(C67*Guide!$B$9+P67*Guide!$B$10+S67*Guide!$B$11+Q67*Guide!$B$12+(100-R67)*Guide!$B$13,1))</f>
        <v/>
      </c>
      <c r="U67" s="18">
        <f>IF(T67="","",IF(T67&gt;=Guide!$B$15,"PRIORITY","Low"))</f>
        <v/>
      </c>
    </row>
    <row r="68">
      <c r="A68" s="19" t="n"/>
      <c r="B68" s="19" t="n"/>
      <c r="C68" s="19" t="n"/>
      <c r="D68" s="20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21" t="n"/>
      <c r="O68" s="19" t="n"/>
      <c r="P68" s="19" t="n"/>
      <c r="Q68" s="19" t="n"/>
      <c r="R68" s="19" t="n"/>
      <c r="S68" s="18">
        <f>IF(D68="","",INDEX(Guide!$B$18:$B$25,MATCH(D68,Guide!$A$18:$A$25,1)))</f>
        <v/>
      </c>
      <c r="T68" s="18">
        <f>IF(OR(C68="",P68="",Q68="",R68="",D68=""),"",ROUND(C68*Guide!$B$9+P68*Guide!$B$10+S68*Guide!$B$11+Q68*Guide!$B$12+(100-R68)*Guide!$B$13,1))</f>
        <v/>
      </c>
      <c r="U68" s="18">
        <f>IF(T68="","",IF(T68&gt;=Guide!$B$15,"PRIORITY","Low"))</f>
        <v/>
      </c>
    </row>
    <row r="69">
      <c r="A69" s="19" t="n"/>
      <c r="B69" s="19" t="n"/>
      <c r="C69" s="19" t="n"/>
      <c r="D69" s="20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21" t="n"/>
      <c r="O69" s="19" t="n"/>
      <c r="P69" s="19" t="n"/>
      <c r="Q69" s="19" t="n"/>
      <c r="R69" s="19" t="n"/>
      <c r="S69" s="18">
        <f>IF(D69="","",INDEX(Guide!$B$18:$B$25,MATCH(D69,Guide!$A$18:$A$25,1)))</f>
        <v/>
      </c>
      <c r="T69" s="18">
        <f>IF(OR(C69="",P69="",Q69="",R69="",D69=""),"",ROUND(C69*Guide!$B$9+P69*Guide!$B$10+S69*Guide!$B$11+Q69*Guide!$B$12+(100-R69)*Guide!$B$13,1))</f>
        <v/>
      </c>
      <c r="U69" s="18">
        <f>IF(T69="","",IF(T69&gt;=Guide!$B$15,"PRIORITY","Low"))</f>
        <v/>
      </c>
    </row>
    <row r="70">
      <c r="A70" s="19" t="n"/>
      <c r="B70" s="19" t="n"/>
      <c r="C70" s="19" t="n"/>
      <c r="D70" s="20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21" t="n"/>
      <c r="O70" s="19" t="n"/>
      <c r="P70" s="19" t="n"/>
      <c r="Q70" s="19" t="n"/>
      <c r="R70" s="19" t="n"/>
      <c r="S70" s="18">
        <f>IF(D70="","",INDEX(Guide!$B$18:$B$25,MATCH(D70,Guide!$A$18:$A$25,1)))</f>
        <v/>
      </c>
      <c r="T70" s="18">
        <f>IF(OR(C70="",P70="",Q70="",R70="",D70=""),"",ROUND(C70*Guide!$B$9+P70*Guide!$B$10+S70*Guide!$B$11+Q70*Guide!$B$12+(100-R70)*Guide!$B$13,1))</f>
        <v/>
      </c>
      <c r="U70" s="18">
        <f>IF(T70="","",IF(T70&gt;=Guide!$B$15,"PRIORITY","Low"))</f>
        <v/>
      </c>
    </row>
    <row r="71">
      <c r="A71" s="19" t="n"/>
      <c r="B71" s="19" t="n"/>
      <c r="C71" s="19" t="n"/>
      <c r="D71" s="20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21" t="n"/>
      <c r="O71" s="19" t="n"/>
      <c r="P71" s="19" t="n"/>
      <c r="Q71" s="19" t="n"/>
      <c r="R71" s="19" t="n"/>
      <c r="S71" s="18">
        <f>IF(D71="","",INDEX(Guide!$B$18:$B$25,MATCH(D71,Guide!$A$18:$A$25,1)))</f>
        <v/>
      </c>
      <c r="T71" s="18">
        <f>IF(OR(C71="",P71="",Q71="",R71="",D71=""),"",ROUND(C71*Guide!$B$9+P71*Guide!$B$10+S71*Guide!$B$11+Q71*Guide!$B$12+(100-R71)*Guide!$B$13,1))</f>
        <v/>
      </c>
      <c r="U71" s="18">
        <f>IF(T71="","",IF(T71&gt;=Guide!$B$15,"PRIORITY","Low"))</f>
        <v/>
      </c>
    </row>
    <row r="72">
      <c r="A72" s="19" t="n"/>
      <c r="B72" s="19" t="n"/>
      <c r="C72" s="19" t="n"/>
      <c r="D72" s="20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21" t="n"/>
      <c r="O72" s="19" t="n"/>
      <c r="P72" s="19" t="n"/>
      <c r="Q72" s="19" t="n"/>
      <c r="R72" s="19" t="n"/>
      <c r="S72" s="18">
        <f>IF(D72="","",INDEX(Guide!$B$18:$B$25,MATCH(D72,Guide!$A$18:$A$25,1)))</f>
        <v/>
      </c>
      <c r="T72" s="18">
        <f>IF(OR(C72="",P72="",Q72="",R72="",D72=""),"",ROUND(C72*Guide!$B$9+P72*Guide!$B$10+S72*Guide!$B$11+Q72*Guide!$B$12+(100-R72)*Guide!$B$13,1))</f>
        <v/>
      </c>
      <c r="U72" s="18">
        <f>IF(T72="","",IF(T72&gt;=Guide!$B$15,"PRIORITY","Low"))</f>
        <v/>
      </c>
    </row>
    <row r="73">
      <c r="A73" s="19" t="n"/>
      <c r="B73" s="19" t="n"/>
      <c r="C73" s="19" t="n"/>
      <c r="D73" s="20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21" t="n"/>
      <c r="O73" s="19" t="n"/>
      <c r="P73" s="19" t="n"/>
      <c r="Q73" s="19" t="n"/>
      <c r="R73" s="19" t="n"/>
      <c r="S73" s="18">
        <f>IF(D73="","",INDEX(Guide!$B$18:$B$25,MATCH(D73,Guide!$A$18:$A$25,1)))</f>
        <v/>
      </c>
      <c r="T73" s="18">
        <f>IF(OR(C73="",P73="",Q73="",R73="",D73=""),"",ROUND(C73*Guide!$B$9+P73*Guide!$B$10+S73*Guide!$B$11+Q73*Guide!$B$12+(100-R73)*Guide!$B$13,1))</f>
        <v/>
      </c>
      <c r="U73" s="18">
        <f>IF(T73="","",IF(T73&gt;=Guide!$B$15,"PRIORITY","Low"))</f>
        <v/>
      </c>
    </row>
    <row r="74">
      <c r="A74" s="19" t="n"/>
      <c r="B74" s="19" t="n"/>
      <c r="C74" s="19" t="n"/>
      <c r="D74" s="20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21" t="n"/>
      <c r="O74" s="19" t="n"/>
      <c r="P74" s="19" t="n"/>
      <c r="Q74" s="19" t="n"/>
      <c r="R74" s="19" t="n"/>
      <c r="S74" s="18">
        <f>IF(D74="","",INDEX(Guide!$B$18:$B$25,MATCH(D74,Guide!$A$18:$A$25,1)))</f>
        <v/>
      </c>
      <c r="T74" s="18">
        <f>IF(OR(C74="",P74="",Q74="",R74="",D74=""),"",ROUND(C74*Guide!$B$9+P74*Guide!$B$10+S74*Guide!$B$11+Q74*Guide!$B$12+(100-R74)*Guide!$B$13,1))</f>
        <v/>
      </c>
      <c r="U74" s="18">
        <f>IF(T74="","",IF(T74&gt;=Guide!$B$15,"PRIORITY","Low"))</f>
        <v/>
      </c>
    </row>
    <row r="75">
      <c r="A75" s="19" t="n"/>
      <c r="B75" s="19" t="n"/>
      <c r="C75" s="19" t="n"/>
      <c r="D75" s="20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21" t="n"/>
      <c r="O75" s="19" t="n"/>
      <c r="P75" s="19" t="n"/>
      <c r="Q75" s="19" t="n"/>
      <c r="R75" s="19" t="n"/>
      <c r="S75" s="18">
        <f>IF(D75="","",INDEX(Guide!$B$18:$B$25,MATCH(D75,Guide!$A$18:$A$25,1)))</f>
        <v/>
      </c>
      <c r="T75" s="18">
        <f>IF(OR(C75="",P75="",Q75="",R75="",D75=""),"",ROUND(C75*Guide!$B$9+P75*Guide!$B$10+S75*Guide!$B$11+Q75*Guide!$B$12+(100-R75)*Guide!$B$13,1))</f>
        <v/>
      </c>
      <c r="U75" s="18">
        <f>IF(T75="","",IF(T75&gt;=Guide!$B$15,"PRIORITY","Low"))</f>
        <v/>
      </c>
    </row>
    <row r="76">
      <c r="A76" s="19" t="n"/>
      <c r="B76" s="19" t="n"/>
      <c r="C76" s="19" t="n"/>
      <c r="D76" s="20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21" t="n"/>
      <c r="O76" s="19" t="n"/>
      <c r="P76" s="19" t="n"/>
      <c r="Q76" s="19" t="n"/>
      <c r="R76" s="19" t="n"/>
      <c r="S76" s="18">
        <f>IF(D76="","",INDEX(Guide!$B$18:$B$25,MATCH(D76,Guide!$A$18:$A$25,1)))</f>
        <v/>
      </c>
      <c r="T76" s="18">
        <f>IF(OR(C76="",P76="",Q76="",R76="",D76=""),"",ROUND(C76*Guide!$B$9+P76*Guide!$B$10+S76*Guide!$B$11+Q76*Guide!$B$12+(100-R76)*Guide!$B$13,1))</f>
        <v/>
      </c>
      <c r="U76" s="18">
        <f>IF(T76="","",IF(T76&gt;=Guide!$B$15,"PRIORITY","Low"))</f>
        <v/>
      </c>
    </row>
    <row r="77">
      <c r="A77" s="19" t="n"/>
      <c r="B77" s="19" t="n"/>
      <c r="C77" s="19" t="n"/>
      <c r="D77" s="20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21" t="n"/>
      <c r="O77" s="19" t="n"/>
      <c r="P77" s="19" t="n"/>
      <c r="Q77" s="19" t="n"/>
      <c r="R77" s="19" t="n"/>
      <c r="S77" s="18">
        <f>IF(D77="","",INDEX(Guide!$B$18:$B$25,MATCH(D77,Guide!$A$18:$A$25,1)))</f>
        <v/>
      </c>
      <c r="T77" s="18">
        <f>IF(OR(C77="",P77="",Q77="",R77="",D77=""),"",ROUND(C77*Guide!$B$9+P77*Guide!$B$10+S77*Guide!$B$11+Q77*Guide!$B$12+(100-R77)*Guide!$B$13,1))</f>
        <v/>
      </c>
      <c r="U77" s="18">
        <f>IF(T77="","",IF(T77&gt;=Guide!$B$15,"PRIORITY","Low"))</f>
        <v/>
      </c>
    </row>
    <row r="78">
      <c r="A78" s="19" t="n"/>
      <c r="B78" s="19" t="n"/>
      <c r="C78" s="19" t="n"/>
      <c r="D78" s="20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21" t="n"/>
      <c r="O78" s="19" t="n"/>
      <c r="P78" s="19" t="n"/>
      <c r="Q78" s="19" t="n"/>
      <c r="R78" s="19" t="n"/>
      <c r="S78" s="18">
        <f>IF(D78="","",INDEX(Guide!$B$18:$B$25,MATCH(D78,Guide!$A$18:$A$25,1)))</f>
        <v/>
      </c>
      <c r="T78" s="18">
        <f>IF(OR(C78="",P78="",Q78="",R78="",D78=""),"",ROUND(C78*Guide!$B$9+P78*Guide!$B$10+S78*Guide!$B$11+Q78*Guide!$B$12+(100-R78)*Guide!$B$13,1))</f>
        <v/>
      </c>
      <c r="U78" s="18">
        <f>IF(T78="","",IF(T78&gt;=Guide!$B$15,"PRIORITY","Low"))</f>
        <v/>
      </c>
    </row>
    <row r="79">
      <c r="A79" s="19" t="n"/>
      <c r="B79" s="19" t="n"/>
      <c r="C79" s="19" t="n"/>
      <c r="D79" s="20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21" t="n"/>
      <c r="O79" s="19" t="n"/>
      <c r="P79" s="19" t="n"/>
      <c r="Q79" s="19" t="n"/>
      <c r="R79" s="19" t="n"/>
      <c r="S79" s="18">
        <f>IF(D79="","",INDEX(Guide!$B$18:$B$25,MATCH(D79,Guide!$A$18:$A$25,1)))</f>
        <v/>
      </c>
      <c r="T79" s="18">
        <f>IF(OR(C79="",P79="",Q79="",R79="",D79=""),"",ROUND(C79*Guide!$B$9+P79*Guide!$B$10+S79*Guide!$B$11+Q79*Guide!$B$12+(100-R79)*Guide!$B$13,1))</f>
        <v/>
      </c>
      <c r="U79" s="18">
        <f>IF(T79="","",IF(T79&gt;=Guide!$B$15,"PRIORITY","Low"))</f>
        <v/>
      </c>
    </row>
    <row r="80">
      <c r="A80" s="19" t="n"/>
      <c r="B80" s="19" t="n"/>
      <c r="C80" s="19" t="n"/>
      <c r="D80" s="20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21" t="n"/>
      <c r="O80" s="19" t="n"/>
      <c r="P80" s="19" t="n"/>
      <c r="Q80" s="19" t="n"/>
      <c r="R80" s="19" t="n"/>
      <c r="S80" s="18">
        <f>IF(D80="","",INDEX(Guide!$B$18:$B$25,MATCH(D80,Guide!$A$18:$A$25,1)))</f>
        <v/>
      </c>
      <c r="T80" s="18">
        <f>IF(OR(C80="",P80="",Q80="",R80="",D80=""),"",ROUND(C80*Guide!$B$9+P80*Guide!$B$10+S80*Guide!$B$11+Q80*Guide!$B$12+(100-R80)*Guide!$B$13,1))</f>
        <v/>
      </c>
      <c r="U80" s="18">
        <f>IF(T80="","",IF(T80&gt;=Guide!$B$15,"PRIORITY","Low"))</f>
        <v/>
      </c>
    </row>
    <row r="81">
      <c r="A81" s="19" t="n"/>
      <c r="B81" s="19" t="n"/>
      <c r="C81" s="19" t="n"/>
      <c r="D81" s="20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21" t="n"/>
      <c r="O81" s="19" t="n"/>
      <c r="P81" s="19" t="n"/>
      <c r="Q81" s="19" t="n"/>
      <c r="R81" s="19" t="n"/>
      <c r="S81" s="18">
        <f>IF(D81="","",INDEX(Guide!$B$18:$B$25,MATCH(D81,Guide!$A$18:$A$25,1)))</f>
        <v/>
      </c>
      <c r="T81" s="18">
        <f>IF(OR(C81="",P81="",Q81="",R81="",D81=""),"",ROUND(C81*Guide!$B$9+P81*Guide!$B$10+S81*Guide!$B$11+Q81*Guide!$B$12+(100-R81)*Guide!$B$13,1))</f>
        <v/>
      </c>
      <c r="U81" s="18">
        <f>IF(T81="","",IF(T81&gt;=Guide!$B$15,"PRIORITY","Low"))</f>
        <v/>
      </c>
    </row>
    <row r="82">
      <c r="A82" s="19" t="n"/>
      <c r="B82" s="19" t="n"/>
      <c r="C82" s="19" t="n"/>
      <c r="D82" s="20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21" t="n"/>
      <c r="O82" s="19" t="n"/>
      <c r="P82" s="19" t="n"/>
      <c r="Q82" s="19" t="n"/>
      <c r="R82" s="19" t="n"/>
      <c r="S82" s="18">
        <f>IF(D82="","",INDEX(Guide!$B$18:$B$25,MATCH(D82,Guide!$A$18:$A$25,1)))</f>
        <v/>
      </c>
      <c r="T82" s="18">
        <f>IF(OR(C82="",P82="",Q82="",R82="",D82=""),"",ROUND(C82*Guide!$B$9+P82*Guide!$B$10+S82*Guide!$B$11+Q82*Guide!$B$12+(100-R82)*Guide!$B$13,1))</f>
        <v/>
      </c>
      <c r="U82" s="18">
        <f>IF(T82="","",IF(T82&gt;=Guide!$B$15,"PRIORITY","Low"))</f>
        <v/>
      </c>
    </row>
    <row r="83">
      <c r="A83" s="19" t="n"/>
      <c r="B83" s="19" t="n"/>
      <c r="C83" s="19" t="n"/>
      <c r="D83" s="20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21" t="n"/>
      <c r="O83" s="19" t="n"/>
      <c r="P83" s="19" t="n"/>
      <c r="Q83" s="19" t="n"/>
      <c r="R83" s="19" t="n"/>
      <c r="S83" s="18">
        <f>IF(D83="","",INDEX(Guide!$B$18:$B$25,MATCH(D83,Guide!$A$18:$A$25,1)))</f>
        <v/>
      </c>
      <c r="T83" s="18">
        <f>IF(OR(C83="",P83="",Q83="",R83="",D83=""),"",ROUND(C83*Guide!$B$9+P83*Guide!$B$10+S83*Guide!$B$11+Q83*Guide!$B$12+(100-R83)*Guide!$B$13,1))</f>
        <v/>
      </c>
      <c r="U83" s="18">
        <f>IF(T83="","",IF(T83&gt;=Guide!$B$15,"PRIORITY","Low"))</f>
        <v/>
      </c>
    </row>
    <row r="84">
      <c r="A84" s="19" t="n"/>
      <c r="B84" s="19" t="n"/>
      <c r="C84" s="19" t="n"/>
      <c r="D84" s="20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21" t="n"/>
      <c r="O84" s="19" t="n"/>
      <c r="P84" s="19" t="n"/>
      <c r="Q84" s="19" t="n"/>
      <c r="R84" s="19" t="n"/>
      <c r="S84" s="18">
        <f>IF(D84="","",INDEX(Guide!$B$18:$B$25,MATCH(D84,Guide!$A$18:$A$25,1)))</f>
        <v/>
      </c>
      <c r="T84" s="18">
        <f>IF(OR(C84="",P84="",Q84="",R84="",D84=""),"",ROUND(C84*Guide!$B$9+P84*Guide!$B$10+S84*Guide!$B$11+Q84*Guide!$B$12+(100-R84)*Guide!$B$13,1))</f>
        <v/>
      </c>
      <c r="U84" s="18">
        <f>IF(T84="","",IF(T84&gt;=Guide!$B$15,"PRIORITY","Low"))</f>
        <v/>
      </c>
    </row>
    <row r="85">
      <c r="A85" s="19" t="n"/>
      <c r="B85" s="19" t="n"/>
      <c r="C85" s="19" t="n"/>
      <c r="D85" s="20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21" t="n"/>
      <c r="O85" s="19" t="n"/>
      <c r="P85" s="19" t="n"/>
      <c r="Q85" s="19" t="n"/>
      <c r="R85" s="19" t="n"/>
      <c r="S85" s="18">
        <f>IF(D85="","",INDEX(Guide!$B$18:$B$25,MATCH(D85,Guide!$A$18:$A$25,1)))</f>
        <v/>
      </c>
      <c r="T85" s="18">
        <f>IF(OR(C85="",P85="",Q85="",R85="",D85=""),"",ROUND(C85*Guide!$B$9+P85*Guide!$B$10+S85*Guide!$B$11+Q85*Guide!$B$12+(100-R85)*Guide!$B$13,1))</f>
        <v/>
      </c>
      <c r="U85" s="18">
        <f>IF(T85="","",IF(T85&gt;=Guide!$B$15,"PRIORITY","Low"))</f>
        <v/>
      </c>
    </row>
    <row r="86">
      <c r="A86" s="19" t="n"/>
      <c r="B86" s="19" t="n"/>
      <c r="C86" s="19" t="n"/>
      <c r="D86" s="20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21" t="n"/>
      <c r="O86" s="19" t="n"/>
      <c r="P86" s="19" t="n"/>
      <c r="Q86" s="19" t="n"/>
      <c r="R86" s="19" t="n"/>
      <c r="S86" s="18">
        <f>IF(D86="","",INDEX(Guide!$B$18:$B$25,MATCH(D86,Guide!$A$18:$A$25,1)))</f>
        <v/>
      </c>
      <c r="T86" s="18">
        <f>IF(OR(C86="",P86="",Q86="",R86="",D86=""),"",ROUND(C86*Guide!$B$9+P86*Guide!$B$10+S86*Guide!$B$11+Q86*Guide!$B$12+(100-R86)*Guide!$B$13,1))</f>
        <v/>
      </c>
      <c r="U86" s="18">
        <f>IF(T86="","",IF(T86&gt;=Guide!$B$15,"PRIORITY","Low"))</f>
        <v/>
      </c>
    </row>
    <row r="87">
      <c r="A87" s="19" t="n"/>
      <c r="B87" s="19" t="n"/>
      <c r="C87" s="19" t="n"/>
      <c r="D87" s="20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21" t="n"/>
      <c r="O87" s="19" t="n"/>
      <c r="P87" s="19" t="n"/>
      <c r="Q87" s="19" t="n"/>
      <c r="R87" s="19" t="n"/>
      <c r="S87" s="18">
        <f>IF(D87="","",INDEX(Guide!$B$18:$B$25,MATCH(D87,Guide!$A$18:$A$25,1)))</f>
        <v/>
      </c>
      <c r="T87" s="18">
        <f>IF(OR(C87="",P87="",Q87="",R87="",D87=""),"",ROUND(C87*Guide!$B$9+P87*Guide!$B$10+S87*Guide!$B$11+Q87*Guide!$B$12+(100-R87)*Guide!$B$13,1))</f>
        <v/>
      </c>
      <c r="U87" s="18">
        <f>IF(T87="","",IF(T87&gt;=Guide!$B$15,"PRIORITY","Low"))</f>
        <v/>
      </c>
    </row>
    <row r="88">
      <c r="A88" s="19" t="n"/>
      <c r="B88" s="19" t="n"/>
      <c r="C88" s="19" t="n"/>
      <c r="D88" s="20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21" t="n"/>
      <c r="O88" s="19" t="n"/>
      <c r="P88" s="19" t="n"/>
      <c r="Q88" s="19" t="n"/>
      <c r="R88" s="19" t="n"/>
      <c r="S88" s="18">
        <f>IF(D88="","",INDEX(Guide!$B$18:$B$25,MATCH(D88,Guide!$A$18:$A$25,1)))</f>
        <v/>
      </c>
      <c r="T88" s="18">
        <f>IF(OR(C88="",P88="",Q88="",R88="",D88=""),"",ROUND(C88*Guide!$B$9+P88*Guide!$B$10+S88*Guide!$B$11+Q88*Guide!$B$12+(100-R88)*Guide!$B$13,1))</f>
        <v/>
      </c>
      <c r="U88" s="18">
        <f>IF(T88="","",IF(T88&gt;=Guide!$B$15,"PRIORITY","Low"))</f>
        <v/>
      </c>
    </row>
    <row r="89">
      <c r="A89" s="19" t="n"/>
      <c r="B89" s="19" t="n"/>
      <c r="C89" s="19" t="n"/>
      <c r="D89" s="20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21" t="n"/>
      <c r="O89" s="19" t="n"/>
      <c r="P89" s="19" t="n"/>
      <c r="Q89" s="19" t="n"/>
      <c r="R89" s="19" t="n"/>
      <c r="S89" s="18">
        <f>IF(D89="","",INDEX(Guide!$B$18:$B$25,MATCH(D89,Guide!$A$18:$A$25,1)))</f>
        <v/>
      </c>
      <c r="T89" s="18">
        <f>IF(OR(C89="",P89="",Q89="",R89="",D89=""),"",ROUND(C89*Guide!$B$9+P89*Guide!$B$10+S89*Guide!$B$11+Q89*Guide!$B$12+(100-R89)*Guide!$B$13,1))</f>
        <v/>
      </c>
      <c r="U89" s="18">
        <f>IF(T89="","",IF(T89&gt;=Guide!$B$15,"PRIORITY","Low"))</f>
        <v/>
      </c>
    </row>
    <row r="90">
      <c r="A90" s="19" t="n"/>
      <c r="B90" s="19" t="n"/>
      <c r="C90" s="19" t="n"/>
      <c r="D90" s="20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21" t="n"/>
      <c r="O90" s="19" t="n"/>
      <c r="P90" s="19" t="n"/>
      <c r="Q90" s="19" t="n"/>
      <c r="R90" s="19" t="n"/>
      <c r="S90" s="18">
        <f>IF(D90="","",INDEX(Guide!$B$18:$B$25,MATCH(D90,Guide!$A$18:$A$25,1)))</f>
        <v/>
      </c>
      <c r="T90" s="18">
        <f>IF(OR(C90="",P90="",Q90="",R90="",D90=""),"",ROUND(C90*Guide!$B$9+P90*Guide!$B$10+S90*Guide!$B$11+Q90*Guide!$B$12+(100-R90)*Guide!$B$13,1))</f>
        <v/>
      </c>
      <c r="U90" s="18">
        <f>IF(T90="","",IF(T90&gt;=Guide!$B$15,"PRIORITY","Low"))</f>
        <v/>
      </c>
    </row>
    <row r="91">
      <c r="A91" s="19" t="n"/>
      <c r="B91" s="19" t="n"/>
      <c r="C91" s="19" t="n"/>
      <c r="D91" s="20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21" t="n"/>
      <c r="O91" s="19" t="n"/>
      <c r="P91" s="19" t="n"/>
      <c r="Q91" s="19" t="n"/>
      <c r="R91" s="19" t="n"/>
      <c r="S91" s="18">
        <f>IF(D91="","",INDEX(Guide!$B$18:$B$25,MATCH(D91,Guide!$A$18:$A$25,1)))</f>
        <v/>
      </c>
      <c r="T91" s="18">
        <f>IF(OR(C91="",P91="",Q91="",R91="",D91=""),"",ROUND(C91*Guide!$B$9+P91*Guide!$B$10+S91*Guide!$B$11+Q91*Guide!$B$12+(100-R91)*Guide!$B$13,1))</f>
        <v/>
      </c>
      <c r="U91" s="18">
        <f>IF(T91="","",IF(T91&gt;=Guide!$B$15,"PRIORITY","Low"))</f>
        <v/>
      </c>
    </row>
    <row r="92">
      <c r="A92" s="19" t="n"/>
      <c r="B92" s="19" t="n"/>
      <c r="C92" s="19" t="n"/>
      <c r="D92" s="20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21" t="n"/>
      <c r="O92" s="19" t="n"/>
      <c r="P92" s="19" t="n"/>
      <c r="Q92" s="19" t="n"/>
      <c r="R92" s="19" t="n"/>
      <c r="S92" s="18">
        <f>IF(D92="","",INDEX(Guide!$B$18:$B$25,MATCH(D92,Guide!$A$18:$A$25,1)))</f>
        <v/>
      </c>
      <c r="T92" s="18">
        <f>IF(OR(C92="",P92="",Q92="",R92="",D92=""),"",ROUND(C92*Guide!$B$9+P92*Guide!$B$10+S92*Guide!$B$11+Q92*Guide!$B$12+(100-R92)*Guide!$B$13,1))</f>
        <v/>
      </c>
      <c r="U92" s="18">
        <f>IF(T92="","",IF(T92&gt;=Guide!$B$15,"PRIORITY","Low"))</f>
        <v/>
      </c>
    </row>
    <row r="93">
      <c r="A93" s="19" t="n"/>
      <c r="B93" s="19" t="n"/>
      <c r="C93" s="19" t="n"/>
      <c r="D93" s="20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21" t="n"/>
      <c r="O93" s="19" t="n"/>
      <c r="P93" s="19" t="n"/>
      <c r="Q93" s="19" t="n"/>
      <c r="R93" s="19" t="n"/>
      <c r="S93" s="18">
        <f>IF(D93="","",INDEX(Guide!$B$18:$B$25,MATCH(D93,Guide!$A$18:$A$25,1)))</f>
        <v/>
      </c>
      <c r="T93" s="18">
        <f>IF(OR(C93="",P93="",Q93="",R93="",D93=""),"",ROUND(C93*Guide!$B$9+P93*Guide!$B$10+S93*Guide!$B$11+Q93*Guide!$B$12+(100-R93)*Guide!$B$13,1))</f>
        <v/>
      </c>
      <c r="U93" s="18">
        <f>IF(T93="","",IF(T93&gt;=Guide!$B$15,"PRIORITY","Low"))</f>
        <v/>
      </c>
    </row>
    <row r="94">
      <c r="A94" s="19" t="n"/>
      <c r="B94" s="19" t="n"/>
      <c r="C94" s="19" t="n"/>
      <c r="D94" s="20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21" t="n"/>
      <c r="O94" s="19" t="n"/>
      <c r="P94" s="19" t="n"/>
      <c r="Q94" s="19" t="n"/>
      <c r="R94" s="19" t="n"/>
      <c r="S94" s="18">
        <f>IF(D94="","",INDEX(Guide!$B$18:$B$25,MATCH(D94,Guide!$A$18:$A$25,1)))</f>
        <v/>
      </c>
      <c r="T94" s="18">
        <f>IF(OR(C94="",P94="",Q94="",R94="",D94=""),"",ROUND(C94*Guide!$B$9+P94*Guide!$B$10+S94*Guide!$B$11+Q94*Guide!$B$12+(100-R94)*Guide!$B$13,1))</f>
        <v/>
      </c>
      <c r="U94" s="18">
        <f>IF(T94="","",IF(T94&gt;=Guide!$B$15,"PRIORITY","Low"))</f>
        <v/>
      </c>
    </row>
    <row r="95">
      <c r="A95" s="19" t="n"/>
      <c r="B95" s="19" t="n"/>
      <c r="C95" s="19" t="n"/>
      <c r="D95" s="20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21" t="n"/>
      <c r="O95" s="19" t="n"/>
      <c r="P95" s="19" t="n"/>
      <c r="Q95" s="19" t="n"/>
      <c r="R95" s="19" t="n"/>
      <c r="S95" s="18">
        <f>IF(D95="","",INDEX(Guide!$B$18:$B$25,MATCH(D95,Guide!$A$18:$A$25,1)))</f>
        <v/>
      </c>
      <c r="T95" s="18">
        <f>IF(OR(C95="",P95="",Q95="",R95="",D95=""),"",ROUND(C95*Guide!$B$9+P95*Guide!$B$10+S95*Guide!$B$11+Q95*Guide!$B$12+(100-R95)*Guide!$B$13,1))</f>
        <v/>
      </c>
      <c r="U95" s="18">
        <f>IF(T95="","",IF(T95&gt;=Guide!$B$15,"PRIORITY","Low"))</f>
        <v/>
      </c>
    </row>
    <row r="96">
      <c r="A96" s="19" t="n"/>
      <c r="B96" s="19" t="n"/>
      <c r="C96" s="19" t="n"/>
      <c r="D96" s="20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21" t="n"/>
      <c r="O96" s="19" t="n"/>
      <c r="P96" s="19" t="n"/>
      <c r="Q96" s="19" t="n"/>
      <c r="R96" s="19" t="n"/>
      <c r="S96" s="18">
        <f>IF(D96="","",INDEX(Guide!$B$18:$B$25,MATCH(D96,Guide!$A$18:$A$25,1)))</f>
        <v/>
      </c>
      <c r="T96" s="18">
        <f>IF(OR(C96="",P96="",Q96="",R96="",D96=""),"",ROUND(C96*Guide!$B$9+P96*Guide!$B$10+S96*Guide!$B$11+Q96*Guide!$B$12+(100-R96)*Guide!$B$13,1))</f>
        <v/>
      </c>
      <c r="U96" s="18">
        <f>IF(T96="","",IF(T96&gt;=Guide!$B$15,"PRIORITY","Low"))</f>
        <v/>
      </c>
    </row>
    <row r="97">
      <c r="A97" s="19" t="n"/>
      <c r="B97" s="19" t="n"/>
      <c r="C97" s="19" t="n"/>
      <c r="D97" s="20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21" t="n"/>
      <c r="O97" s="19" t="n"/>
      <c r="P97" s="19" t="n"/>
      <c r="Q97" s="19" t="n"/>
      <c r="R97" s="19" t="n"/>
      <c r="S97" s="18">
        <f>IF(D97="","",INDEX(Guide!$B$18:$B$25,MATCH(D97,Guide!$A$18:$A$25,1)))</f>
        <v/>
      </c>
      <c r="T97" s="18">
        <f>IF(OR(C97="",P97="",Q97="",R97="",D97=""),"",ROUND(C97*Guide!$B$9+P97*Guide!$B$10+S97*Guide!$B$11+Q97*Guide!$B$12+(100-R97)*Guide!$B$13,1))</f>
        <v/>
      </c>
      <c r="U97" s="18">
        <f>IF(T97="","",IF(T97&gt;=Guide!$B$15,"PRIORITY","Low"))</f>
        <v/>
      </c>
    </row>
    <row r="98">
      <c r="A98" s="19" t="n"/>
      <c r="B98" s="19" t="n"/>
      <c r="C98" s="19" t="n"/>
      <c r="D98" s="20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21" t="n"/>
      <c r="O98" s="19" t="n"/>
      <c r="P98" s="19" t="n"/>
      <c r="Q98" s="19" t="n"/>
      <c r="R98" s="19" t="n"/>
      <c r="S98" s="18">
        <f>IF(D98="","",INDEX(Guide!$B$18:$B$25,MATCH(D98,Guide!$A$18:$A$25,1)))</f>
        <v/>
      </c>
      <c r="T98" s="18">
        <f>IF(OR(C98="",P98="",Q98="",R98="",D98=""),"",ROUND(C98*Guide!$B$9+P98*Guide!$B$10+S98*Guide!$B$11+Q98*Guide!$B$12+(100-R98)*Guide!$B$13,1))</f>
        <v/>
      </c>
      <c r="U98" s="18">
        <f>IF(T98="","",IF(T98&gt;=Guide!$B$15,"PRIORITY","Low"))</f>
        <v/>
      </c>
    </row>
    <row r="99">
      <c r="A99" s="19" t="n"/>
      <c r="B99" s="19" t="n"/>
      <c r="C99" s="19" t="n"/>
      <c r="D99" s="20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21" t="n"/>
      <c r="O99" s="19" t="n"/>
      <c r="P99" s="19" t="n"/>
      <c r="Q99" s="19" t="n"/>
      <c r="R99" s="19" t="n"/>
      <c r="S99" s="18">
        <f>IF(D99="","",INDEX(Guide!$B$18:$B$25,MATCH(D99,Guide!$A$18:$A$25,1)))</f>
        <v/>
      </c>
      <c r="T99" s="18">
        <f>IF(OR(C99="",P99="",Q99="",R99="",D99=""),"",ROUND(C99*Guide!$B$9+P99*Guide!$B$10+S99*Guide!$B$11+Q99*Guide!$B$12+(100-R99)*Guide!$B$13,1))</f>
        <v/>
      </c>
      <c r="U99" s="18">
        <f>IF(T99="","",IF(T99&gt;=Guide!$B$15,"PRIORITY","Low"))</f>
        <v/>
      </c>
    </row>
    <row r="100">
      <c r="A100" s="19" t="n"/>
      <c r="B100" s="19" t="n"/>
      <c r="C100" s="19" t="n"/>
      <c r="D100" s="20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21" t="n"/>
      <c r="O100" s="19" t="n"/>
      <c r="P100" s="19" t="n"/>
      <c r="Q100" s="19" t="n"/>
      <c r="R100" s="19" t="n"/>
      <c r="S100" s="18">
        <f>IF(D100="","",INDEX(Guide!$B$18:$B$25,MATCH(D100,Guide!$A$18:$A$25,1)))</f>
        <v/>
      </c>
      <c r="T100" s="18">
        <f>IF(OR(C100="",P100="",Q100="",R100="",D100=""),"",ROUND(C100*Guide!$B$9+P100*Guide!$B$10+S100*Guide!$B$11+Q100*Guide!$B$12+(100-R100)*Guide!$B$13,1))</f>
        <v/>
      </c>
      <c r="U100" s="18">
        <f>IF(T100="","",IF(T100&gt;=Guide!$B$15,"PRIORITY","Low"))</f>
        <v/>
      </c>
    </row>
    <row r="101">
      <c r="A101" s="19" t="n"/>
      <c r="B101" s="19" t="n"/>
      <c r="C101" s="19" t="n"/>
      <c r="D101" s="20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21" t="n"/>
      <c r="O101" s="19" t="n"/>
      <c r="P101" s="19" t="n"/>
      <c r="Q101" s="19" t="n"/>
      <c r="R101" s="19" t="n"/>
      <c r="S101" s="18">
        <f>IF(D101="","",INDEX(Guide!$B$18:$B$25,MATCH(D101,Guide!$A$18:$A$25,1)))</f>
        <v/>
      </c>
      <c r="T101" s="18">
        <f>IF(OR(C101="",P101="",Q101="",R101="",D101=""),"",ROUND(C101*Guide!$B$9+P101*Guide!$B$10+S101*Guide!$B$11+Q101*Guide!$B$12+(100-R101)*Guide!$B$13,1))</f>
        <v/>
      </c>
      <c r="U101" s="18">
        <f>IF(T101="","",IF(T101&gt;=Guide!$B$15,"PRIORITY","Low"))</f>
        <v/>
      </c>
    </row>
    <row r="102">
      <c r="A102" s="19" t="n"/>
      <c r="B102" s="19" t="n"/>
      <c r="C102" s="19" t="n"/>
      <c r="D102" s="20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21" t="n"/>
      <c r="O102" s="19" t="n"/>
      <c r="P102" s="19" t="n"/>
      <c r="Q102" s="19" t="n"/>
      <c r="R102" s="19" t="n"/>
      <c r="S102" s="18">
        <f>IF(D102="","",INDEX(Guide!$B$18:$B$25,MATCH(D102,Guide!$A$18:$A$25,1)))</f>
        <v/>
      </c>
      <c r="T102" s="18">
        <f>IF(OR(C102="",P102="",Q102="",R102="",D102=""),"",ROUND(C102*Guide!$B$9+P102*Guide!$B$10+S102*Guide!$B$11+Q102*Guide!$B$12+(100-R102)*Guide!$B$13,1))</f>
        <v/>
      </c>
      <c r="U102" s="18">
        <f>IF(T102="","",IF(T102&gt;=Guide!$B$15,"PRIORITY","Low"))</f>
        <v/>
      </c>
    </row>
    <row r="103">
      <c r="A103" s="19" t="n"/>
      <c r="B103" s="19" t="n"/>
      <c r="C103" s="19" t="n"/>
      <c r="D103" s="20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21" t="n"/>
      <c r="O103" s="19" t="n"/>
      <c r="P103" s="19" t="n"/>
      <c r="Q103" s="19" t="n"/>
      <c r="R103" s="19" t="n"/>
      <c r="S103" s="18">
        <f>IF(D103="","",INDEX(Guide!$B$18:$B$25,MATCH(D103,Guide!$A$18:$A$25,1)))</f>
        <v/>
      </c>
      <c r="T103" s="18">
        <f>IF(OR(C103="",P103="",Q103="",R103="",D103=""),"",ROUND(C103*Guide!$B$9+P103*Guide!$B$10+S103*Guide!$B$11+Q103*Guide!$B$12+(100-R103)*Guide!$B$13,1))</f>
        <v/>
      </c>
      <c r="U103" s="18">
        <f>IF(T103="","",IF(T103&gt;=Guide!$B$15,"PRIORITY","Low"))</f>
        <v/>
      </c>
    </row>
    <row r="104">
      <c r="A104" s="19" t="n"/>
      <c r="B104" s="19" t="n"/>
      <c r="C104" s="19" t="n"/>
      <c r="D104" s="20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21" t="n"/>
      <c r="O104" s="19" t="n"/>
      <c r="P104" s="19" t="n"/>
      <c r="Q104" s="19" t="n"/>
      <c r="R104" s="19" t="n"/>
      <c r="S104" s="18">
        <f>IF(D104="","",INDEX(Guide!$B$18:$B$25,MATCH(D104,Guide!$A$18:$A$25,1)))</f>
        <v/>
      </c>
      <c r="T104" s="18">
        <f>IF(OR(C104="",P104="",Q104="",R104="",D104=""),"",ROUND(C104*Guide!$B$9+P104*Guide!$B$10+S104*Guide!$B$11+Q104*Guide!$B$12+(100-R104)*Guide!$B$13,1))</f>
        <v/>
      </c>
      <c r="U104" s="18">
        <f>IF(T104="","",IF(T104&gt;=Guide!$B$15,"PRIORITY","Low"))</f>
        <v/>
      </c>
    </row>
    <row r="105">
      <c r="A105" s="19" t="n"/>
      <c r="B105" s="19" t="n"/>
      <c r="C105" s="19" t="n"/>
      <c r="D105" s="20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21" t="n"/>
      <c r="O105" s="19" t="n"/>
      <c r="P105" s="19" t="n"/>
      <c r="Q105" s="19" t="n"/>
      <c r="R105" s="19" t="n"/>
      <c r="S105" s="18">
        <f>IF(D105="","",INDEX(Guide!$B$18:$B$25,MATCH(D105,Guide!$A$18:$A$25,1)))</f>
        <v/>
      </c>
      <c r="T105" s="18">
        <f>IF(OR(C105="",P105="",Q105="",R105="",D105=""),"",ROUND(C105*Guide!$B$9+P105*Guide!$B$10+S105*Guide!$B$11+Q105*Guide!$B$12+(100-R105)*Guide!$B$13,1))</f>
        <v/>
      </c>
      <c r="U105" s="18">
        <f>IF(T105="","",IF(T105&gt;=Guide!$B$15,"PRIORITY","Low"))</f>
        <v/>
      </c>
    </row>
    <row r="106">
      <c r="A106" s="19" t="n"/>
      <c r="B106" s="19" t="n"/>
      <c r="C106" s="19" t="n"/>
      <c r="D106" s="20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21" t="n"/>
      <c r="O106" s="19" t="n"/>
      <c r="P106" s="19" t="n"/>
      <c r="Q106" s="19" t="n"/>
      <c r="R106" s="19" t="n"/>
      <c r="S106" s="18">
        <f>IF(D106="","",INDEX(Guide!$B$18:$B$25,MATCH(D106,Guide!$A$18:$A$25,1)))</f>
        <v/>
      </c>
      <c r="T106" s="18">
        <f>IF(OR(C106="",P106="",Q106="",R106="",D106=""),"",ROUND(C106*Guide!$B$9+P106*Guide!$B$10+S106*Guide!$B$11+Q106*Guide!$B$12+(100-R106)*Guide!$B$13,1))</f>
        <v/>
      </c>
      <c r="U106" s="18">
        <f>IF(T106="","",IF(T106&gt;=Guide!$B$15,"PRIORITY","Low"))</f>
        <v/>
      </c>
    </row>
    <row r="107">
      <c r="A107" s="19" t="n"/>
      <c r="B107" s="19" t="n"/>
      <c r="C107" s="19" t="n"/>
      <c r="D107" s="20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21" t="n"/>
      <c r="O107" s="19" t="n"/>
      <c r="P107" s="19" t="n"/>
      <c r="Q107" s="19" t="n"/>
      <c r="R107" s="19" t="n"/>
      <c r="S107" s="18">
        <f>IF(D107="","",INDEX(Guide!$B$18:$B$25,MATCH(D107,Guide!$A$18:$A$25,1)))</f>
        <v/>
      </c>
      <c r="T107" s="18">
        <f>IF(OR(C107="",P107="",Q107="",R107="",D107=""),"",ROUND(C107*Guide!$B$9+P107*Guide!$B$10+S107*Guide!$B$11+Q107*Guide!$B$12+(100-R107)*Guide!$B$13,1))</f>
        <v/>
      </c>
      <c r="U107" s="18">
        <f>IF(T107="","",IF(T107&gt;=Guide!$B$15,"PRIORITY","Low"))</f>
        <v/>
      </c>
    </row>
    <row r="108">
      <c r="A108" s="19" t="n"/>
      <c r="B108" s="19" t="n"/>
      <c r="C108" s="19" t="n"/>
      <c r="D108" s="20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21" t="n"/>
      <c r="O108" s="19" t="n"/>
      <c r="P108" s="19" t="n"/>
      <c r="Q108" s="19" t="n"/>
      <c r="R108" s="19" t="n"/>
      <c r="S108" s="18">
        <f>IF(D108="","",INDEX(Guide!$B$18:$B$25,MATCH(D108,Guide!$A$18:$A$25,1)))</f>
        <v/>
      </c>
      <c r="T108" s="18">
        <f>IF(OR(C108="",P108="",Q108="",R108="",D108=""),"",ROUND(C108*Guide!$B$9+P108*Guide!$B$10+S108*Guide!$B$11+Q108*Guide!$B$12+(100-R108)*Guide!$B$13,1))</f>
        <v/>
      </c>
      <c r="U108" s="18">
        <f>IF(T108="","",IF(T108&gt;=Guide!$B$15,"PRIORITY","Low"))</f>
        <v/>
      </c>
    </row>
    <row r="109">
      <c r="A109" s="19" t="n"/>
      <c r="B109" s="19" t="n"/>
      <c r="C109" s="19" t="n"/>
      <c r="D109" s="20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21" t="n"/>
      <c r="O109" s="19" t="n"/>
      <c r="P109" s="19" t="n"/>
      <c r="Q109" s="19" t="n"/>
      <c r="R109" s="19" t="n"/>
      <c r="S109" s="18">
        <f>IF(D109="","",INDEX(Guide!$B$18:$B$25,MATCH(D109,Guide!$A$18:$A$25,1)))</f>
        <v/>
      </c>
      <c r="T109" s="18">
        <f>IF(OR(C109="",P109="",Q109="",R109="",D109=""),"",ROUND(C109*Guide!$B$9+P109*Guide!$B$10+S109*Guide!$B$11+Q109*Guide!$B$12+(100-R109)*Guide!$B$13,1))</f>
        <v/>
      </c>
      <c r="U109" s="18">
        <f>IF(T109="","",IF(T109&gt;=Guide!$B$15,"PRIORITY","Low"))</f>
        <v/>
      </c>
    </row>
    <row r="110">
      <c r="A110" s="19" t="n"/>
      <c r="B110" s="19" t="n"/>
      <c r="C110" s="19" t="n"/>
      <c r="D110" s="20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21" t="n"/>
      <c r="O110" s="19" t="n"/>
      <c r="P110" s="19" t="n"/>
      <c r="Q110" s="19" t="n"/>
      <c r="R110" s="19" t="n"/>
      <c r="S110" s="18">
        <f>IF(D110="","",INDEX(Guide!$B$18:$B$25,MATCH(D110,Guide!$A$18:$A$25,1)))</f>
        <v/>
      </c>
      <c r="T110" s="18">
        <f>IF(OR(C110="",P110="",Q110="",R110="",D110=""),"",ROUND(C110*Guide!$B$9+P110*Guide!$B$10+S110*Guide!$B$11+Q110*Guide!$B$12+(100-R110)*Guide!$B$13,1))</f>
        <v/>
      </c>
      <c r="U110" s="18">
        <f>IF(T110="","",IF(T110&gt;=Guide!$B$15,"PRIORITY","Low"))</f>
        <v/>
      </c>
    </row>
    <row r="111">
      <c r="A111" s="19" t="n"/>
      <c r="B111" s="19" t="n"/>
      <c r="C111" s="19" t="n"/>
      <c r="D111" s="20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21" t="n"/>
      <c r="O111" s="19" t="n"/>
      <c r="P111" s="19" t="n"/>
      <c r="Q111" s="19" t="n"/>
      <c r="R111" s="19" t="n"/>
      <c r="S111" s="18">
        <f>IF(D111="","",INDEX(Guide!$B$18:$B$25,MATCH(D111,Guide!$A$18:$A$25,1)))</f>
        <v/>
      </c>
      <c r="T111" s="18">
        <f>IF(OR(C111="",P111="",Q111="",R111="",D111=""),"",ROUND(C111*Guide!$B$9+P111*Guide!$B$10+S111*Guide!$B$11+Q111*Guide!$B$12+(100-R111)*Guide!$B$13,1))</f>
        <v/>
      </c>
      <c r="U111" s="18">
        <f>IF(T111="","",IF(T111&gt;=Guide!$B$15,"PRIORITY","Low"))</f>
        <v/>
      </c>
    </row>
    <row r="112">
      <c r="A112" s="19" t="n"/>
      <c r="B112" s="19" t="n"/>
      <c r="C112" s="19" t="n"/>
      <c r="D112" s="20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21" t="n"/>
      <c r="O112" s="19" t="n"/>
      <c r="P112" s="19" t="n"/>
      <c r="Q112" s="19" t="n"/>
      <c r="R112" s="19" t="n"/>
      <c r="S112" s="18">
        <f>IF(D112="","",INDEX(Guide!$B$18:$B$25,MATCH(D112,Guide!$A$18:$A$25,1)))</f>
        <v/>
      </c>
      <c r="T112" s="18">
        <f>IF(OR(C112="",P112="",Q112="",R112="",D112=""),"",ROUND(C112*Guide!$B$9+P112*Guide!$B$10+S112*Guide!$B$11+Q112*Guide!$B$12+(100-R112)*Guide!$B$13,1))</f>
        <v/>
      </c>
      <c r="U112" s="18">
        <f>IF(T112="","",IF(T112&gt;=Guide!$B$15,"PRIORITY","Low"))</f>
        <v/>
      </c>
    </row>
    <row r="113">
      <c r="A113" s="19" t="n"/>
      <c r="B113" s="19" t="n"/>
      <c r="C113" s="19" t="n"/>
      <c r="D113" s="20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21" t="n"/>
      <c r="O113" s="19" t="n"/>
      <c r="P113" s="19" t="n"/>
      <c r="Q113" s="19" t="n"/>
      <c r="R113" s="19" t="n"/>
      <c r="S113" s="18">
        <f>IF(D113="","",INDEX(Guide!$B$18:$B$25,MATCH(D113,Guide!$A$18:$A$25,1)))</f>
        <v/>
      </c>
      <c r="T113" s="18">
        <f>IF(OR(C113="",P113="",Q113="",R113="",D113=""),"",ROUND(C113*Guide!$B$9+P113*Guide!$B$10+S113*Guide!$B$11+Q113*Guide!$B$12+(100-R113)*Guide!$B$13,1))</f>
        <v/>
      </c>
      <c r="U113" s="18">
        <f>IF(T113="","",IF(T113&gt;=Guide!$B$15,"PRIORITY","Low"))</f>
        <v/>
      </c>
    </row>
    <row r="114">
      <c r="A114" s="19" t="n"/>
      <c r="B114" s="19" t="n"/>
      <c r="C114" s="19" t="n"/>
      <c r="D114" s="20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21" t="n"/>
      <c r="O114" s="19" t="n"/>
      <c r="P114" s="19" t="n"/>
      <c r="Q114" s="19" t="n"/>
      <c r="R114" s="19" t="n"/>
      <c r="S114" s="18">
        <f>IF(D114="","",INDEX(Guide!$B$18:$B$25,MATCH(D114,Guide!$A$18:$A$25,1)))</f>
        <v/>
      </c>
      <c r="T114" s="18">
        <f>IF(OR(C114="",P114="",Q114="",R114="",D114=""),"",ROUND(C114*Guide!$B$9+P114*Guide!$B$10+S114*Guide!$B$11+Q114*Guide!$B$12+(100-R114)*Guide!$B$13,1))</f>
        <v/>
      </c>
      <c r="U114" s="18">
        <f>IF(T114="","",IF(T114&gt;=Guide!$B$15,"PRIORITY","Low"))</f>
        <v/>
      </c>
    </row>
    <row r="115">
      <c r="A115" s="19" t="n"/>
      <c r="B115" s="19" t="n"/>
      <c r="C115" s="19" t="n"/>
      <c r="D115" s="20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21" t="n"/>
      <c r="O115" s="19" t="n"/>
      <c r="P115" s="19" t="n"/>
      <c r="Q115" s="19" t="n"/>
      <c r="R115" s="19" t="n"/>
      <c r="S115" s="18">
        <f>IF(D115="","",INDEX(Guide!$B$18:$B$25,MATCH(D115,Guide!$A$18:$A$25,1)))</f>
        <v/>
      </c>
      <c r="T115" s="18">
        <f>IF(OR(C115="",P115="",Q115="",R115="",D115=""),"",ROUND(C115*Guide!$B$9+P115*Guide!$B$10+S115*Guide!$B$11+Q115*Guide!$B$12+(100-R115)*Guide!$B$13,1))</f>
        <v/>
      </c>
      <c r="U115" s="18">
        <f>IF(T115="","",IF(T115&gt;=Guide!$B$15,"PRIORITY","Low"))</f>
        <v/>
      </c>
    </row>
    <row r="116">
      <c r="A116" s="19" t="n"/>
      <c r="B116" s="19" t="n"/>
      <c r="C116" s="19" t="n"/>
      <c r="D116" s="20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21" t="n"/>
      <c r="O116" s="19" t="n"/>
      <c r="P116" s="19" t="n"/>
      <c r="Q116" s="19" t="n"/>
      <c r="R116" s="19" t="n"/>
      <c r="S116" s="18">
        <f>IF(D116="","",INDEX(Guide!$B$18:$B$25,MATCH(D116,Guide!$A$18:$A$25,1)))</f>
        <v/>
      </c>
      <c r="T116" s="18">
        <f>IF(OR(C116="",P116="",Q116="",R116="",D116=""),"",ROUND(C116*Guide!$B$9+P116*Guide!$B$10+S116*Guide!$B$11+Q116*Guide!$B$12+(100-R116)*Guide!$B$13,1))</f>
        <v/>
      </c>
      <c r="U116" s="18">
        <f>IF(T116="","",IF(T116&gt;=Guide!$B$15,"PRIORITY","Low"))</f>
        <v/>
      </c>
    </row>
    <row r="117">
      <c r="A117" s="19" t="n"/>
      <c r="B117" s="19" t="n"/>
      <c r="C117" s="19" t="n"/>
      <c r="D117" s="20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21" t="n"/>
      <c r="O117" s="19" t="n"/>
      <c r="P117" s="19" t="n"/>
      <c r="Q117" s="19" t="n"/>
      <c r="R117" s="19" t="n"/>
      <c r="S117" s="18">
        <f>IF(D117="","",INDEX(Guide!$B$18:$B$25,MATCH(D117,Guide!$A$18:$A$25,1)))</f>
        <v/>
      </c>
      <c r="T117" s="18">
        <f>IF(OR(C117="",P117="",Q117="",R117="",D117=""),"",ROUND(C117*Guide!$B$9+P117*Guide!$B$10+S117*Guide!$B$11+Q117*Guide!$B$12+(100-R117)*Guide!$B$13,1))</f>
        <v/>
      </c>
      <c r="U117" s="18">
        <f>IF(T117="","",IF(T117&gt;=Guide!$B$15,"PRIORITY","Low"))</f>
        <v/>
      </c>
    </row>
    <row r="118">
      <c r="A118" s="19" t="n"/>
      <c r="B118" s="19" t="n"/>
      <c r="C118" s="19" t="n"/>
      <c r="D118" s="20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21" t="n"/>
      <c r="O118" s="19" t="n"/>
      <c r="P118" s="19" t="n"/>
      <c r="Q118" s="19" t="n"/>
      <c r="R118" s="19" t="n"/>
      <c r="S118" s="18">
        <f>IF(D118="","",INDEX(Guide!$B$18:$B$25,MATCH(D118,Guide!$A$18:$A$25,1)))</f>
        <v/>
      </c>
      <c r="T118" s="18">
        <f>IF(OR(C118="",P118="",Q118="",R118="",D118=""),"",ROUND(C118*Guide!$B$9+P118*Guide!$B$10+S118*Guide!$B$11+Q118*Guide!$B$12+(100-R118)*Guide!$B$13,1))</f>
        <v/>
      </c>
      <c r="U118" s="18">
        <f>IF(T118="","",IF(T118&gt;=Guide!$B$15,"PRIORITY","Low"))</f>
        <v/>
      </c>
    </row>
    <row r="119">
      <c r="A119" s="19" t="n"/>
      <c r="B119" s="19" t="n"/>
      <c r="C119" s="19" t="n"/>
      <c r="D119" s="20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21" t="n"/>
      <c r="O119" s="19" t="n"/>
      <c r="P119" s="19" t="n"/>
      <c r="Q119" s="19" t="n"/>
      <c r="R119" s="19" t="n"/>
      <c r="S119" s="18">
        <f>IF(D119="","",INDEX(Guide!$B$18:$B$25,MATCH(D119,Guide!$A$18:$A$25,1)))</f>
        <v/>
      </c>
      <c r="T119" s="18">
        <f>IF(OR(C119="",P119="",Q119="",R119="",D119=""),"",ROUND(C119*Guide!$B$9+P119*Guide!$B$10+S119*Guide!$B$11+Q119*Guide!$B$12+(100-R119)*Guide!$B$13,1))</f>
        <v/>
      </c>
      <c r="U119" s="18">
        <f>IF(T119="","",IF(T119&gt;=Guide!$B$15,"PRIORITY","Low"))</f>
        <v/>
      </c>
    </row>
    <row r="120">
      <c r="A120" s="19" t="n"/>
      <c r="B120" s="19" t="n"/>
      <c r="C120" s="19" t="n"/>
      <c r="D120" s="20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21" t="n"/>
      <c r="O120" s="19" t="n"/>
      <c r="P120" s="19" t="n"/>
      <c r="Q120" s="19" t="n"/>
      <c r="R120" s="19" t="n"/>
      <c r="S120" s="18">
        <f>IF(D120="","",INDEX(Guide!$B$18:$B$25,MATCH(D120,Guide!$A$18:$A$25,1)))</f>
        <v/>
      </c>
      <c r="T120" s="18">
        <f>IF(OR(C120="",P120="",Q120="",R120="",D120=""),"",ROUND(C120*Guide!$B$9+P120*Guide!$B$10+S120*Guide!$B$11+Q120*Guide!$B$12+(100-R120)*Guide!$B$13,1))</f>
        <v/>
      </c>
      <c r="U120" s="18">
        <f>IF(T120="","",IF(T120&gt;=Guide!$B$15,"PRIORITY","Low"))</f>
        <v/>
      </c>
    </row>
    <row r="121">
      <c r="A121" s="19" t="n"/>
      <c r="B121" s="19" t="n"/>
      <c r="C121" s="19" t="n"/>
      <c r="D121" s="20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21" t="n"/>
      <c r="O121" s="19" t="n"/>
      <c r="P121" s="19" t="n"/>
      <c r="Q121" s="19" t="n"/>
      <c r="R121" s="19" t="n"/>
      <c r="S121" s="18">
        <f>IF(D121="","",INDEX(Guide!$B$18:$B$25,MATCH(D121,Guide!$A$18:$A$25,1)))</f>
        <v/>
      </c>
      <c r="T121" s="18">
        <f>IF(OR(C121="",P121="",Q121="",R121="",D121=""),"",ROUND(C121*Guide!$B$9+P121*Guide!$B$10+S121*Guide!$B$11+Q121*Guide!$B$12+(100-R121)*Guide!$B$13,1))</f>
        <v/>
      </c>
      <c r="U121" s="18">
        <f>IF(T121="","",IF(T121&gt;=Guide!$B$15,"PRIORITY","Low"))</f>
        <v/>
      </c>
    </row>
    <row r="122">
      <c r="A122" s="19" t="n"/>
      <c r="B122" s="19" t="n"/>
      <c r="C122" s="19" t="n"/>
      <c r="D122" s="20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21" t="n"/>
      <c r="O122" s="19" t="n"/>
      <c r="P122" s="19" t="n"/>
      <c r="Q122" s="19" t="n"/>
      <c r="R122" s="19" t="n"/>
      <c r="S122" s="18">
        <f>IF(D122="","",INDEX(Guide!$B$18:$B$25,MATCH(D122,Guide!$A$18:$A$25,1)))</f>
        <v/>
      </c>
      <c r="T122" s="18">
        <f>IF(OR(C122="",P122="",Q122="",R122="",D122=""),"",ROUND(C122*Guide!$B$9+P122*Guide!$B$10+S122*Guide!$B$11+Q122*Guide!$B$12+(100-R122)*Guide!$B$13,1))</f>
        <v/>
      </c>
      <c r="U122" s="18">
        <f>IF(T122="","",IF(T122&gt;=Guide!$B$15,"PRIORITY","Low"))</f>
        <v/>
      </c>
    </row>
    <row r="123">
      <c r="A123" s="19" t="n"/>
      <c r="B123" s="19" t="n"/>
      <c r="C123" s="19" t="n"/>
      <c r="D123" s="20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21" t="n"/>
      <c r="O123" s="19" t="n"/>
      <c r="P123" s="19" t="n"/>
      <c r="Q123" s="19" t="n"/>
      <c r="R123" s="19" t="n"/>
      <c r="S123" s="18">
        <f>IF(D123="","",INDEX(Guide!$B$18:$B$25,MATCH(D123,Guide!$A$18:$A$25,1)))</f>
        <v/>
      </c>
      <c r="T123" s="18">
        <f>IF(OR(C123="",P123="",Q123="",R123="",D123=""),"",ROUND(C123*Guide!$B$9+P123*Guide!$B$10+S123*Guide!$B$11+Q123*Guide!$B$12+(100-R123)*Guide!$B$13,1))</f>
        <v/>
      </c>
      <c r="U123" s="18">
        <f>IF(T123="","",IF(T123&gt;=Guide!$B$15,"PRIORITY","Low"))</f>
        <v/>
      </c>
    </row>
    <row r="124">
      <c r="A124" s="19" t="n"/>
      <c r="B124" s="19" t="n"/>
      <c r="C124" s="19" t="n"/>
      <c r="D124" s="20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21" t="n"/>
      <c r="O124" s="19" t="n"/>
      <c r="P124" s="19" t="n"/>
      <c r="Q124" s="19" t="n"/>
      <c r="R124" s="19" t="n"/>
      <c r="S124" s="18">
        <f>IF(D124="","",INDEX(Guide!$B$18:$B$25,MATCH(D124,Guide!$A$18:$A$25,1)))</f>
        <v/>
      </c>
      <c r="T124" s="18">
        <f>IF(OR(C124="",P124="",Q124="",R124="",D124=""),"",ROUND(C124*Guide!$B$9+P124*Guide!$B$10+S124*Guide!$B$11+Q124*Guide!$B$12+(100-R124)*Guide!$B$13,1))</f>
        <v/>
      </c>
      <c r="U124" s="18">
        <f>IF(T124="","",IF(T124&gt;=Guide!$B$15,"PRIORITY","Low"))</f>
        <v/>
      </c>
    </row>
    <row r="125">
      <c r="A125" s="19" t="n"/>
      <c r="B125" s="19" t="n"/>
      <c r="C125" s="19" t="n"/>
      <c r="D125" s="20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21" t="n"/>
      <c r="O125" s="19" t="n"/>
      <c r="P125" s="19" t="n"/>
      <c r="Q125" s="19" t="n"/>
      <c r="R125" s="19" t="n"/>
      <c r="S125" s="18">
        <f>IF(D125="","",INDEX(Guide!$B$18:$B$25,MATCH(D125,Guide!$A$18:$A$25,1)))</f>
        <v/>
      </c>
      <c r="T125" s="18">
        <f>IF(OR(C125="",P125="",Q125="",R125="",D125=""),"",ROUND(C125*Guide!$B$9+P125*Guide!$B$10+S125*Guide!$B$11+Q125*Guide!$B$12+(100-R125)*Guide!$B$13,1))</f>
        <v/>
      </c>
      <c r="U125" s="18">
        <f>IF(T125="","",IF(T125&gt;=Guide!$B$15,"PRIORITY","Low"))</f>
        <v/>
      </c>
    </row>
    <row r="126">
      <c r="A126" s="19" t="n"/>
      <c r="B126" s="19" t="n"/>
      <c r="C126" s="19" t="n"/>
      <c r="D126" s="20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21" t="n"/>
      <c r="O126" s="19" t="n"/>
      <c r="P126" s="19" t="n"/>
      <c r="Q126" s="19" t="n"/>
      <c r="R126" s="19" t="n"/>
      <c r="S126" s="18">
        <f>IF(D126="","",INDEX(Guide!$B$18:$B$25,MATCH(D126,Guide!$A$18:$A$25,1)))</f>
        <v/>
      </c>
      <c r="T126" s="18">
        <f>IF(OR(C126="",P126="",Q126="",R126="",D126=""),"",ROUND(C126*Guide!$B$9+P126*Guide!$B$10+S126*Guide!$B$11+Q126*Guide!$B$12+(100-R126)*Guide!$B$13,1))</f>
        <v/>
      </c>
      <c r="U126" s="18">
        <f>IF(T126="","",IF(T126&gt;=Guide!$B$15,"PRIORITY","Low"))</f>
        <v/>
      </c>
    </row>
    <row r="127">
      <c r="A127" s="19" t="n"/>
      <c r="B127" s="19" t="n"/>
      <c r="C127" s="19" t="n"/>
      <c r="D127" s="20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21" t="n"/>
      <c r="O127" s="19" t="n"/>
      <c r="P127" s="19" t="n"/>
      <c r="Q127" s="19" t="n"/>
      <c r="R127" s="19" t="n"/>
      <c r="S127" s="18">
        <f>IF(D127="","",INDEX(Guide!$B$18:$B$25,MATCH(D127,Guide!$A$18:$A$25,1)))</f>
        <v/>
      </c>
      <c r="T127" s="18">
        <f>IF(OR(C127="",P127="",Q127="",R127="",D127=""),"",ROUND(C127*Guide!$B$9+P127*Guide!$B$10+S127*Guide!$B$11+Q127*Guide!$B$12+(100-R127)*Guide!$B$13,1))</f>
        <v/>
      </c>
      <c r="U127" s="18">
        <f>IF(T127="","",IF(T127&gt;=Guide!$B$15,"PRIORITY","Low"))</f>
        <v/>
      </c>
    </row>
    <row r="128">
      <c r="A128" s="19" t="n"/>
      <c r="B128" s="19" t="n"/>
      <c r="C128" s="19" t="n"/>
      <c r="D128" s="20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21" t="n"/>
      <c r="O128" s="19" t="n"/>
      <c r="P128" s="19" t="n"/>
      <c r="Q128" s="19" t="n"/>
      <c r="R128" s="19" t="n"/>
      <c r="S128" s="18">
        <f>IF(D128="","",INDEX(Guide!$B$18:$B$25,MATCH(D128,Guide!$A$18:$A$25,1)))</f>
        <v/>
      </c>
      <c r="T128" s="18">
        <f>IF(OR(C128="",P128="",Q128="",R128="",D128=""),"",ROUND(C128*Guide!$B$9+P128*Guide!$B$10+S128*Guide!$B$11+Q128*Guide!$B$12+(100-R128)*Guide!$B$13,1))</f>
        <v/>
      </c>
      <c r="U128" s="18">
        <f>IF(T128="","",IF(T128&gt;=Guide!$B$15,"PRIORITY","Low"))</f>
        <v/>
      </c>
    </row>
    <row r="129">
      <c r="A129" s="19" t="n"/>
      <c r="B129" s="19" t="n"/>
      <c r="C129" s="19" t="n"/>
      <c r="D129" s="20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21" t="n"/>
      <c r="O129" s="19" t="n"/>
      <c r="P129" s="19" t="n"/>
      <c r="Q129" s="19" t="n"/>
      <c r="R129" s="19" t="n"/>
      <c r="S129" s="18">
        <f>IF(D129="","",INDEX(Guide!$B$18:$B$25,MATCH(D129,Guide!$A$18:$A$25,1)))</f>
        <v/>
      </c>
      <c r="T129" s="18">
        <f>IF(OR(C129="",P129="",Q129="",R129="",D129=""),"",ROUND(C129*Guide!$B$9+P129*Guide!$B$10+S129*Guide!$B$11+Q129*Guide!$B$12+(100-R129)*Guide!$B$13,1))</f>
        <v/>
      </c>
      <c r="U129" s="18">
        <f>IF(T129="","",IF(T129&gt;=Guide!$B$15,"PRIORITY","Low"))</f>
        <v/>
      </c>
    </row>
    <row r="130">
      <c r="A130" s="19" t="n"/>
      <c r="B130" s="19" t="n"/>
      <c r="C130" s="19" t="n"/>
      <c r="D130" s="20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21" t="n"/>
      <c r="O130" s="19" t="n"/>
      <c r="P130" s="19" t="n"/>
      <c r="Q130" s="19" t="n"/>
      <c r="R130" s="19" t="n"/>
      <c r="S130" s="18">
        <f>IF(D130="","",INDEX(Guide!$B$18:$B$25,MATCH(D130,Guide!$A$18:$A$25,1)))</f>
        <v/>
      </c>
      <c r="T130" s="18">
        <f>IF(OR(C130="",P130="",Q130="",R130="",D130=""),"",ROUND(C130*Guide!$B$9+P130*Guide!$B$10+S130*Guide!$B$11+Q130*Guide!$B$12+(100-R130)*Guide!$B$13,1))</f>
        <v/>
      </c>
      <c r="U130" s="18">
        <f>IF(T130="","",IF(T130&gt;=Guide!$B$15,"PRIORITY","Low"))</f>
        <v/>
      </c>
    </row>
    <row r="131">
      <c r="A131" s="19" t="n"/>
      <c r="B131" s="19" t="n"/>
      <c r="C131" s="19" t="n"/>
      <c r="D131" s="20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21" t="n"/>
      <c r="O131" s="19" t="n"/>
      <c r="P131" s="19" t="n"/>
      <c r="Q131" s="19" t="n"/>
      <c r="R131" s="19" t="n"/>
      <c r="S131" s="18">
        <f>IF(D131="","",INDEX(Guide!$B$18:$B$25,MATCH(D131,Guide!$A$18:$A$25,1)))</f>
        <v/>
      </c>
      <c r="T131" s="18">
        <f>IF(OR(C131="",P131="",Q131="",R131="",D131=""),"",ROUND(C131*Guide!$B$9+P131*Guide!$B$10+S131*Guide!$B$11+Q131*Guide!$B$12+(100-R131)*Guide!$B$13,1))</f>
        <v/>
      </c>
      <c r="U131" s="18">
        <f>IF(T131="","",IF(T131&gt;=Guide!$B$15,"PRIORITY","Low"))</f>
        <v/>
      </c>
    </row>
    <row r="132">
      <c r="A132" s="19" t="n"/>
      <c r="B132" s="19" t="n"/>
      <c r="C132" s="19" t="n"/>
      <c r="D132" s="20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21" t="n"/>
      <c r="O132" s="19" t="n"/>
      <c r="P132" s="19" t="n"/>
      <c r="Q132" s="19" t="n"/>
      <c r="R132" s="19" t="n"/>
      <c r="S132" s="18">
        <f>IF(D132="","",INDEX(Guide!$B$18:$B$25,MATCH(D132,Guide!$A$18:$A$25,1)))</f>
        <v/>
      </c>
      <c r="T132" s="18">
        <f>IF(OR(C132="",P132="",Q132="",R132="",D132=""),"",ROUND(C132*Guide!$B$9+P132*Guide!$B$10+S132*Guide!$B$11+Q132*Guide!$B$12+(100-R132)*Guide!$B$13,1))</f>
        <v/>
      </c>
      <c r="U132" s="18">
        <f>IF(T132="","",IF(T132&gt;=Guide!$B$15,"PRIORITY","Low"))</f>
        <v/>
      </c>
    </row>
    <row r="133">
      <c r="A133" s="19" t="n"/>
      <c r="B133" s="19" t="n"/>
      <c r="C133" s="19" t="n"/>
      <c r="D133" s="20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21" t="n"/>
      <c r="O133" s="19" t="n"/>
      <c r="P133" s="19" t="n"/>
      <c r="Q133" s="19" t="n"/>
      <c r="R133" s="19" t="n"/>
      <c r="S133" s="18">
        <f>IF(D133="","",INDEX(Guide!$B$18:$B$25,MATCH(D133,Guide!$A$18:$A$25,1)))</f>
        <v/>
      </c>
      <c r="T133" s="18">
        <f>IF(OR(C133="",P133="",Q133="",R133="",D133=""),"",ROUND(C133*Guide!$B$9+P133*Guide!$B$10+S133*Guide!$B$11+Q133*Guide!$B$12+(100-R133)*Guide!$B$13,1))</f>
        <v/>
      </c>
      <c r="U133" s="18">
        <f>IF(T133="","",IF(T133&gt;=Guide!$B$15,"PRIORITY","Low"))</f>
        <v/>
      </c>
    </row>
    <row r="134">
      <c r="A134" s="19" t="n"/>
      <c r="B134" s="19" t="n"/>
      <c r="C134" s="19" t="n"/>
      <c r="D134" s="20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21" t="n"/>
      <c r="O134" s="19" t="n"/>
      <c r="P134" s="19" t="n"/>
      <c r="Q134" s="19" t="n"/>
      <c r="R134" s="19" t="n"/>
      <c r="S134" s="18">
        <f>IF(D134="","",INDEX(Guide!$B$18:$B$25,MATCH(D134,Guide!$A$18:$A$25,1)))</f>
        <v/>
      </c>
      <c r="T134" s="18">
        <f>IF(OR(C134="",P134="",Q134="",R134="",D134=""),"",ROUND(C134*Guide!$B$9+P134*Guide!$B$10+S134*Guide!$B$11+Q134*Guide!$B$12+(100-R134)*Guide!$B$13,1))</f>
        <v/>
      </c>
      <c r="U134" s="18">
        <f>IF(T134="","",IF(T134&gt;=Guide!$B$15,"PRIORITY","Low"))</f>
        <v/>
      </c>
    </row>
    <row r="135">
      <c r="A135" s="19" t="n"/>
      <c r="B135" s="19" t="n"/>
      <c r="C135" s="19" t="n"/>
      <c r="D135" s="20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21" t="n"/>
      <c r="O135" s="19" t="n"/>
      <c r="P135" s="19" t="n"/>
      <c r="Q135" s="19" t="n"/>
      <c r="R135" s="19" t="n"/>
      <c r="S135" s="18">
        <f>IF(D135="","",INDEX(Guide!$B$18:$B$25,MATCH(D135,Guide!$A$18:$A$25,1)))</f>
        <v/>
      </c>
      <c r="T135" s="18">
        <f>IF(OR(C135="",P135="",Q135="",R135="",D135=""),"",ROUND(C135*Guide!$B$9+P135*Guide!$B$10+S135*Guide!$B$11+Q135*Guide!$B$12+(100-R135)*Guide!$B$13,1))</f>
        <v/>
      </c>
      <c r="U135" s="18">
        <f>IF(T135="","",IF(T135&gt;=Guide!$B$15,"PRIORITY","Low"))</f>
        <v/>
      </c>
    </row>
    <row r="136">
      <c r="A136" s="19" t="n"/>
      <c r="B136" s="19" t="n"/>
      <c r="C136" s="19" t="n"/>
      <c r="D136" s="20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21" t="n"/>
      <c r="O136" s="19" t="n"/>
      <c r="P136" s="19" t="n"/>
      <c r="Q136" s="19" t="n"/>
      <c r="R136" s="19" t="n"/>
      <c r="S136" s="18">
        <f>IF(D136="","",INDEX(Guide!$B$18:$B$25,MATCH(D136,Guide!$A$18:$A$25,1)))</f>
        <v/>
      </c>
      <c r="T136" s="18">
        <f>IF(OR(C136="",P136="",Q136="",R136="",D136=""),"",ROUND(C136*Guide!$B$9+P136*Guide!$B$10+S136*Guide!$B$11+Q136*Guide!$B$12+(100-R136)*Guide!$B$13,1))</f>
        <v/>
      </c>
      <c r="U136" s="18">
        <f>IF(T136="","",IF(T136&gt;=Guide!$B$15,"PRIORITY","Low"))</f>
        <v/>
      </c>
    </row>
    <row r="137">
      <c r="A137" s="19" t="n"/>
      <c r="B137" s="19" t="n"/>
      <c r="C137" s="19" t="n"/>
      <c r="D137" s="20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21" t="n"/>
      <c r="O137" s="19" t="n"/>
      <c r="P137" s="19" t="n"/>
      <c r="Q137" s="19" t="n"/>
      <c r="R137" s="19" t="n"/>
      <c r="S137" s="18">
        <f>IF(D137="","",INDEX(Guide!$B$18:$B$25,MATCH(D137,Guide!$A$18:$A$25,1)))</f>
        <v/>
      </c>
      <c r="T137" s="18">
        <f>IF(OR(C137="",P137="",Q137="",R137="",D137=""),"",ROUND(C137*Guide!$B$9+P137*Guide!$B$10+S137*Guide!$B$11+Q137*Guide!$B$12+(100-R137)*Guide!$B$13,1))</f>
        <v/>
      </c>
      <c r="U137" s="18">
        <f>IF(T137="","",IF(T137&gt;=Guide!$B$15,"PRIORITY","Low"))</f>
        <v/>
      </c>
    </row>
    <row r="138">
      <c r="A138" s="19" t="n"/>
      <c r="B138" s="19" t="n"/>
      <c r="C138" s="19" t="n"/>
      <c r="D138" s="20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21" t="n"/>
      <c r="O138" s="19" t="n"/>
      <c r="P138" s="19" t="n"/>
      <c r="Q138" s="19" t="n"/>
      <c r="R138" s="19" t="n"/>
      <c r="S138" s="18">
        <f>IF(D138="","",INDEX(Guide!$B$18:$B$25,MATCH(D138,Guide!$A$18:$A$25,1)))</f>
        <v/>
      </c>
      <c r="T138" s="18">
        <f>IF(OR(C138="",P138="",Q138="",R138="",D138=""),"",ROUND(C138*Guide!$B$9+P138*Guide!$B$10+S138*Guide!$B$11+Q138*Guide!$B$12+(100-R138)*Guide!$B$13,1))</f>
        <v/>
      </c>
      <c r="U138" s="18">
        <f>IF(T138="","",IF(T138&gt;=Guide!$B$15,"PRIORITY","Low"))</f>
        <v/>
      </c>
    </row>
    <row r="139">
      <c r="A139" s="19" t="n"/>
      <c r="B139" s="19" t="n"/>
      <c r="C139" s="19" t="n"/>
      <c r="D139" s="20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21" t="n"/>
      <c r="O139" s="19" t="n"/>
      <c r="P139" s="19" t="n"/>
      <c r="Q139" s="19" t="n"/>
      <c r="R139" s="19" t="n"/>
      <c r="S139" s="18">
        <f>IF(D139="","",INDEX(Guide!$B$18:$B$25,MATCH(D139,Guide!$A$18:$A$25,1)))</f>
        <v/>
      </c>
      <c r="T139" s="18">
        <f>IF(OR(C139="",P139="",Q139="",R139="",D139=""),"",ROUND(C139*Guide!$B$9+P139*Guide!$B$10+S139*Guide!$B$11+Q139*Guide!$B$12+(100-R139)*Guide!$B$13,1))</f>
        <v/>
      </c>
      <c r="U139" s="18">
        <f>IF(T139="","",IF(T139&gt;=Guide!$B$15,"PRIORITY","Low"))</f>
        <v/>
      </c>
    </row>
    <row r="140">
      <c r="A140" s="19" t="n"/>
      <c r="B140" s="19" t="n"/>
      <c r="C140" s="19" t="n"/>
      <c r="D140" s="20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21" t="n"/>
      <c r="O140" s="19" t="n"/>
      <c r="P140" s="19" t="n"/>
      <c r="Q140" s="19" t="n"/>
      <c r="R140" s="19" t="n"/>
      <c r="S140" s="18">
        <f>IF(D140="","",INDEX(Guide!$B$18:$B$25,MATCH(D140,Guide!$A$18:$A$25,1)))</f>
        <v/>
      </c>
      <c r="T140" s="18">
        <f>IF(OR(C140="",P140="",Q140="",R140="",D140=""),"",ROUND(C140*Guide!$B$9+P140*Guide!$B$10+S140*Guide!$B$11+Q140*Guide!$B$12+(100-R140)*Guide!$B$13,1))</f>
        <v/>
      </c>
      <c r="U140" s="18">
        <f>IF(T140="","",IF(T140&gt;=Guide!$B$15,"PRIORITY","Low"))</f>
        <v/>
      </c>
    </row>
    <row r="141">
      <c r="A141" s="19" t="n"/>
      <c r="B141" s="19" t="n"/>
      <c r="C141" s="19" t="n"/>
      <c r="D141" s="20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21" t="n"/>
      <c r="O141" s="19" t="n"/>
      <c r="P141" s="19" t="n"/>
      <c r="Q141" s="19" t="n"/>
      <c r="R141" s="19" t="n"/>
      <c r="S141" s="18">
        <f>IF(D141="","",INDEX(Guide!$B$18:$B$25,MATCH(D141,Guide!$A$18:$A$25,1)))</f>
        <v/>
      </c>
      <c r="T141" s="18">
        <f>IF(OR(C141="",P141="",Q141="",R141="",D141=""),"",ROUND(C141*Guide!$B$9+P141*Guide!$B$10+S141*Guide!$B$11+Q141*Guide!$B$12+(100-R141)*Guide!$B$13,1))</f>
        <v/>
      </c>
      <c r="U141" s="18">
        <f>IF(T141="","",IF(T141&gt;=Guide!$B$15,"PRIORITY","Low"))</f>
        <v/>
      </c>
    </row>
    <row r="142">
      <c r="A142" s="19" t="n"/>
      <c r="B142" s="19" t="n"/>
      <c r="C142" s="19" t="n"/>
      <c r="D142" s="20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21" t="n"/>
      <c r="O142" s="19" t="n"/>
      <c r="P142" s="19" t="n"/>
      <c r="Q142" s="19" t="n"/>
      <c r="R142" s="19" t="n"/>
      <c r="S142" s="18">
        <f>IF(D142="","",INDEX(Guide!$B$18:$B$25,MATCH(D142,Guide!$A$18:$A$25,1)))</f>
        <v/>
      </c>
      <c r="T142" s="18">
        <f>IF(OR(C142="",P142="",Q142="",R142="",D142=""),"",ROUND(C142*Guide!$B$9+P142*Guide!$B$10+S142*Guide!$B$11+Q142*Guide!$B$12+(100-R142)*Guide!$B$13,1))</f>
        <v/>
      </c>
      <c r="U142" s="18">
        <f>IF(T142="","",IF(T142&gt;=Guide!$B$15,"PRIORITY","Low"))</f>
        <v/>
      </c>
    </row>
    <row r="143">
      <c r="A143" s="19" t="n"/>
      <c r="B143" s="19" t="n"/>
      <c r="C143" s="19" t="n"/>
      <c r="D143" s="20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21" t="n"/>
      <c r="O143" s="19" t="n"/>
      <c r="P143" s="19" t="n"/>
      <c r="Q143" s="19" t="n"/>
      <c r="R143" s="19" t="n"/>
      <c r="S143" s="18">
        <f>IF(D143="","",INDEX(Guide!$B$18:$B$25,MATCH(D143,Guide!$A$18:$A$25,1)))</f>
        <v/>
      </c>
      <c r="T143" s="18">
        <f>IF(OR(C143="",P143="",Q143="",R143="",D143=""),"",ROUND(C143*Guide!$B$9+P143*Guide!$B$10+S143*Guide!$B$11+Q143*Guide!$B$12+(100-R143)*Guide!$B$13,1))</f>
        <v/>
      </c>
      <c r="U143" s="18">
        <f>IF(T143="","",IF(T143&gt;=Guide!$B$15,"PRIORITY","Low"))</f>
        <v/>
      </c>
    </row>
    <row r="144">
      <c r="A144" s="19" t="n"/>
      <c r="B144" s="19" t="n"/>
      <c r="C144" s="19" t="n"/>
      <c r="D144" s="20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21" t="n"/>
      <c r="O144" s="19" t="n"/>
      <c r="P144" s="19" t="n"/>
      <c r="Q144" s="19" t="n"/>
      <c r="R144" s="19" t="n"/>
      <c r="S144" s="18">
        <f>IF(D144="","",INDEX(Guide!$B$18:$B$25,MATCH(D144,Guide!$A$18:$A$25,1)))</f>
        <v/>
      </c>
      <c r="T144" s="18">
        <f>IF(OR(C144="",P144="",Q144="",R144="",D144=""),"",ROUND(C144*Guide!$B$9+P144*Guide!$B$10+S144*Guide!$B$11+Q144*Guide!$B$12+(100-R144)*Guide!$B$13,1))</f>
        <v/>
      </c>
      <c r="U144" s="18">
        <f>IF(T144="","",IF(T144&gt;=Guide!$B$15,"PRIORITY","Low"))</f>
        <v/>
      </c>
    </row>
    <row r="145">
      <c r="A145" s="19" t="n"/>
      <c r="B145" s="19" t="n"/>
      <c r="C145" s="19" t="n"/>
      <c r="D145" s="20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21" t="n"/>
      <c r="O145" s="19" t="n"/>
      <c r="P145" s="19" t="n"/>
      <c r="Q145" s="19" t="n"/>
      <c r="R145" s="19" t="n"/>
      <c r="S145" s="18">
        <f>IF(D145="","",INDEX(Guide!$B$18:$B$25,MATCH(D145,Guide!$A$18:$A$25,1)))</f>
        <v/>
      </c>
      <c r="T145" s="18">
        <f>IF(OR(C145="",P145="",Q145="",R145="",D145=""),"",ROUND(C145*Guide!$B$9+P145*Guide!$B$10+S145*Guide!$B$11+Q145*Guide!$B$12+(100-R145)*Guide!$B$13,1))</f>
        <v/>
      </c>
      <c r="U145" s="18">
        <f>IF(T145="","",IF(T145&gt;=Guide!$B$15,"PRIORITY","Low"))</f>
        <v/>
      </c>
    </row>
    <row r="146">
      <c r="A146" s="19" t="n"/>
      <c r="B146" s="19" t="n"/>
      <c r="C146" s="19" t="n"/>
      <c r="D146" s="20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21" t="n"/>
      <c r="O146" s="19" t="n"/>
      <c r="P146" s="19" t="n"/>
      <c r="Q146" s="19" t="n"/>
      <c r="R146" s="19" t="n"/>
      <c r="S146" s="18">
        <f>IF(D146="","",INDEX(Guide!$B$18:$B$25,MATCH(D146,Guide!$A$18:$A$25,1)))</f>
        <v/>
      </c>
      <c r="T146" s="18">
        <f>IF(OR(C146="",P146="",Q146="",R146="",D146=""),"",ROUND(C146*Guide!$B$9+P146*Guide!$B$10+S146*Guide!$B$11+Q146*Guide!$B$12+(100-R146)*Guide!$B$13,1))</f>
        <v/>
      </c>
      <c r="U146" s="18">
        <f>IF(T146="","",IF(T146&gt;=Guide!$B$15,"PRIORITY","Low"))</f>
        <v/>
      </c>
    </row>
    <row r="147">
      <c r="A147" s="19" t="n"/>
      <c r="B147" s="19" t="n"/>
      <c r="C147" s="19" t="n"/>
      <c r="D147" s="20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21" t="n"/>
      <c r="O147" s="19" t="n"/>
      <c r="P147" s="19" t="n"/>
      <c r="Q147" s="19" t="n"/>
      <c r="R147" s="19" t="n"/>
      <c r="S147" s="18">
        <f>IF(D147="","",INDEX(Guide!$B$18:$B$25,MATCH(D147,Guide!$A$18:$A$25,1)))</f>
        <v/>
      </c>
      <c r="T147" s="18">
        <f>IF(OR(C147="",P147="",Q147="",R147="",D147=""),"",ROUND(C147*Guide!$B$9+P147*Guide!$B$10+S147*Guide!$B$11+Q147*Guide!$B$12+(100-R147)*Guide!$B$13,1))</f>
        <v/>
      </c>
      <c r="U147" s="18">
        <f>IF(T147="","",IF(T147&gt;=Guide!$B$15,"PRIORITY","Low"))</f>
        <v/>
      </c>
    </row>
    <row r="148">
      <c r="A148" s="19" t="n"/>
      <c r="B148" s="19" t="n"/>
      <c r="C148" s="19" t="n"/>
      <c r="D148" s="20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21" t="n"/>
      <c r="O148" s="19" t="n"/>
      <c r="P148" s="19" t="n"/>
      <c r="Q148" s="19" t="n"/>
      <c r="R148" s="19" t="n"/>
      <c r="S148" s="18">
        <f>IF(D148="","",INDEX(Guide!$B$18:$B$25,MATCH(D148,Guide!$A$18:$A$25,1)))</f>
        <v/>
      </c>
      <c r="T148" s="18">
        <f>IF(OR(C148="",P148="",Q148="",R148="",D148=""),"",ROUND(C148*Guide!$B$9+P148*Guide!$B$10+S148*Guide!$B$11+Q148*Guide!$B$12+(100-R148)*Guide!$B$13,1))</f>
        <v/>
      </c>
      <c r="U148" s="18">
        <f>IF(T148="","",IF(T148&gt;=Guide!$B$15,"PRIORITY","Low"))</f>
        <v/>
      </c>
    </row>
    <row r="149">
      <c r="A149" s="19" t="n"/>
      <c r="B149" s="19" t="n"/>
      <c r="C149" s="19" t="n"/>
      <c r="D149" s="20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21" t="n"/>
      <c r="O149" s="19" t="n"/>
      <c r="P149" s="19" t="n"/>
      <c r="Q149" s="19" t="n"/>
      <c r="R149" s="19" t="n"/>
      <c r="S149" s="18">
        <f>IF(D149="","",INDEX(Guide!$B$18:$B$25,MATCH(D149,Guide!$A$18:$A$25,1)))</f>
        <v/>
      </c>
      <c r="T149" s="18">
        <f>IF(OR(C149="",P149="",Q149="",R149="",D149=""),"",ROUND(C149*Guide!$B$9+P149*Guide!$B$10+S149*Guide!$B$11+Q149*Guide!$B$12+(100-R149)*Guide!$B$13,1))</f>
        <v/>
      </c>
      <c r="U149" s="18">
        <f>IF(T149="","",IF(T149&gt;=Guide!$B$15,"PRIORITY","Low"))</f>
        <v/>
      </c>
    </row>
    <row r="150">
      <c r="A150" s="19" t="n"/>
      <c r="B150" s="19" t="n"/>
      <c r="C150" s="19" t="n"/>
      <c r="D150" s="20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21" t="n"/>
      <c r="O150" s="19" t="n"/>
      <c r="P150" s="19" t="n"/>
      <c r="Q150" s="19" t="n"/>
      <c r="R150" s="19" t="n"/>
      <c r="S150" s="18">
        <f>IF(D150="","",INDEX(Guide!$B$18:$B$25,MATCH(D150,Guide!$A$18:$A$25,1)))</f>
        <v/>
      </c>
      <c r="T150" s="18">
        <f>IF(OR(C150="",P150="",Q150="",R150="",D150=""),"",ROUND(C150*Guide!$B$9+P150*Guide!$B$10+S150*Guide!$B$11+Q150*Guide!$B$12+(100-R150)*Guide!$B$13,1))</f>
        <v/>
      </c>
      <c r="U150" s="18">
        <f>IF(T150="","",IF(T150&gt;=Guide!$B$15,"PRIORITY","Low"))</f>
        <v/>
      </c>
    </row>
    <row r="151">
      <c r="A151" s="19" t="n"/>
      <c r="B151" s="19" t="n"/>
      <c r="C151" s="19" t="n"/>
      <c r="D151" s="20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21" t="n"/>
      <c r="O151" s="19" t="n"/>
      <c r="P151" s="19" t="n"/>
      <c r="Q151" s="19" t="n"/>
      <c r="R151" s="19" t="n"/>
      <c r="S151" s="18">
        <f>IF(D151="","",INDEX(Guide!$B$18:$B$25,MATCH(D151,Guide!$A$18:$A$25,1)))</f>
        <v/>
      </c>
      <c r="T151" s="18">
        <f>IF(OR(C151="",P151="",Q151="",R151="",D151=""),"",ROUND(C151*Guide!$B$9+P151*Guide!$B$10+S151*Guide!$B$11+Q151*Guide!$B$12+(100-R151)*Guide!$B$13,1))</f>
        <v/>
      </c>
      <c r="U151" s="18">
        <f>IF(T151="","",IF(T151&gt;=Guide!$B$15,"PRIORITY","Low"))</f>
        <v/>
      </c>
    </row>
    <row r="152">
      <c r="A152" s="19" t="n"/>
      <c r="B152" s="19" t="n"/>
      <c r="C152" s="19" t="n"/>
      <c r="D152" s="20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21" t="n"/>
      <c r="O152" s="19" t="n"/>
      <c r="P152" s="19" t="n"/>
      <c r="Q152" s="19" t="n"/>
      <c r="R152" s="19" t="n"/>
      <c r="S152" s="18">
        <f>IF(D152="","",INDEX(Guide!$B$18:$B$25,MATCH(D152,Guide!$A$18:$A$25,1)))</f>
        <v/>
      </c>
      <c r="T152" s="18">
        <f>IF(OR(C152="",P152="",Q152="",R152="",D152=""),"",ROUND(C152*Guide!$B$9+P152*Guide!$B$10+S152*Guide!$B$11+Q152*Guide!$B$12+(100-R152)*Guide!$B$13,1))</f>
        <v/>
      </c>
      <c r="U152" s="18">
        <f>IF(T152="","",IF(T152&gt;=Guide!$B$15,"PRIORITY","Low"))</f>
        <v/>
      </c>
    </row>
    <row r="153">
      <c r="A153" s="19" t="n"/>
      <c r="B153" s="19" t="n"/>
      <c r="C153" s="19" t="n"/>
      <c r="D153" s="20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21" t="n"/>
      <c r="O153" s="19" t="n"/>
      <c r="P153" s="19" t="n"/>
      <c r="Q153" s="19" t="n"/>
      <c r="R153" s="19" t="n"/>
      <c r="S153" s="18">
        <f>IF(D153="","",INDEX(Guide!$B$18:$B$25,MATCH(D153,Guide!$A$18:$A$25,1)))</f>
        <v/>
      </c>
      <c r="T153" s="18">
        <f>IF(OR(C153="",P153="",Q153="",R153="",D153=""),"",ROUND(C153*Guide!$B$9+P153*Guide!$B$10+S153*Guide!$B$11+Q153*Guide!$B$12+(100-R153)*Guide!$B$13,1))</f>
        <v/>
      </c>
      <c r="U153" s="18">
        <f>IF(T153="","",IF(T153&gt;=Guide!$B$15,"PRIORITY","Low"))</f>
        <v/>
      </c>
    </row>
    <row r="154">
      <c r="A154" s="19" t="n"/>
      <c r="B154" s="19" t="n"/>
      <c r="C154" s="19" t="n"/>
      <c r="D154" s="20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21" t="n"/>
      <c r="O154" s="19" t="n"/>
      <c r="P154" s="19" t="n"/>
      <c r="Q154" s="19" t="n"/>
      <c r="R154" s="19" t="n"/>
      <c r="S154" s="18">
        <f>IF(D154="","",INDEX(Guide!$B$18:$B$25,MATCH(D154,Guide!$A$18:$A$25,1)))</f>
        <v/>
      </c>
      <c r="T154" s="18">
        <f>IF(OR(C154="",P154="",Q154="",R154="",D154=""),"",ROUND(C154*Guide!$B$9+P154*Guide!$B$10+S154*Guide!$B$11+Q154*Guide!$B$12+(100-R154)*Guide!$B$13,1))</f>
        <v/>
      </c>
      <c r="U154" s="18">
        <f>IF(T154="","",IF(T154&gt;=Guide!$B$15,"PRIORITY","Low"))</f>
        <v/>
      </c>
    </row>
    <row r="155">
      <c r="A155" s="19" t="n"/>
      <c r="B155" s="19" t="n"/>
      <c r="C155" s="19" t="n"/>
      <c r="D155" s="20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21" t="n"/>
      <c r="O155" s="19" t="n"/>
      <c r="P155" s="19" t="n"/>
      <c r="Q155" s="19" t="n"/>
      <c r="R155" s="19" t="n"/>
      <c r="S155" s="18">
        <f>IF(D155="","",INDEX(Guide!$B$18:$B$25,MATCH(D155,Guide!$A$18:$A$25,1)))</f>
        <v/>
      </c>
      <c r="T155" s="18">
        <f>IF(OR(C155="",P155="",Q155="",R155="",D155=""),"",ROUND(C155*Guide!$B$9+P155*Guide!$B$10+S155*Guide!$B$11+Q155*Guide!$B$12+(100-R155)*Guide!$B$13,1))</f>
        <v/>
      </c>
      <c r="U155" s="18">
        <f>IF(T155="","",IF(T155&gt;=Guide!$B$15,"PRIORITY","Low"))</f>
        <v/>
      </c>
    </row>
    <row r="156">
      <c r="A156" s="19" t="n"/>
      <c r="B156" s="19" t="n"/>
      <c r="C156" s="19" t="n"/>
      <c r="D156" s="20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21" t="n"/>
      <c r="O156" s="19" t="n"/>
      <c r="P156" s="19" t="n"/>
      <c r="Q156" s="19" t="n"/>
      <c r="R156" s="19" t="n"/>
      <c r="S156" s="18">
        <f>IF(D156="","",INDEX(Guide!$B$18:$B$25,MATCH(D156,Guide!$A$18:$A$25,1)))</f>
        <v/>
      </c>
      <c r="T156" s="18">
        <f>IF(OR(C156="",P156="",Q156="",R156="",D156=""),"",ROUND(C156*Guide!$B$9+P156*Guide!$B$10+S156*Guide!$B$11+Q156*Guide!$B$12+(100-R156)*Guide!$B$13,1))</f>
        <v/>
      </c>
      <c r="U156" s="18">
        <f>IF(T156="","",IF(T156&gt;=Guide!$B$15,"PRIORITY","Low"))</f>
        <v/>
      </c>
    </row>
    <row r="157">
      <c r="A157" s="19" t="n"/>
      <c r="B157" s="19" t="n"/>
      <c r="C157" s="19" t="n"/>
      <c r="D157" s="20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21" t="n"/>
      <c r="O157" s="19" t="n"/>
      <c r="P157" s="19" t="n"/>
      <c r="Q157" s="19" t="n"/>
      <c r="R157" s="19" t="n"/>
      <c r="S157" s="18">
        <f>IF(D157="","",INDEX(Guide!$B$18:$B$25,MATCH(D157,Guide!$A$18:$A$25,1)))</f>
        <v/>
      </c>
      <c r="T157" s="18">
        <f>IF(OR(C157="",P157="",Q157="",R157="",D157=""),"",ROUND(C157*Guide!$B$9+P157*Guide!$B$10+S157*Guide!$B$11+Q157*Guide!$B$12+(100-R157)*Guide!$B$13,1))</f>
        <v/>
      </c>
      <c r="U157" s="18">
        <f>IF(T157="","",IF(T157&gt;=Guide!$B$15,"PRIORITY","Low"))</f>
        <v/>
      </c>
    </row>
    <row r="158">
      <c r="A158" s="19" t="n"/>
      <c r="B158" s="19" t="n"/>
      <c r="C158" s="19" t="n"/>
      <c r="D158" s="20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21" t="n"/>
      <c r="O158" s="19" t="n"/>
      <c r="P158" s="19" t="n"/>
      <c r="Q158" s="19" t="n"/>
      <c r="R158" s="19" t="n"/>
      <c r="S158" s="18">
        <f>IF(D158="","",INDEX(Guide!$B$18:$B$25,MATCH(D158,Guide!$A$18:$A$25,1)))</f>
        <v/>
      </c>
      <c r="T158" s="18">
        <f>IF(OR(C158="",P158="",Q158="",R158="",D158=""),"",ROUND(C158*Guide!$B$9+P158*Guide!$B$10+S158*Guide!$B$11+Q158*Guide!$B$12+(100-R158)*Guide!$B$13,1))</f>
        <v/>
      </c>
      <c r="U158" s="18">
        <f>IF(T158="","",IF(T158&gt;=Guide!$B$15,"PRIORITY","Low"))</f>
        <v/>
      </c>
    </row>
    <row r="159">
      <c r="A159" s="19" t="n"/>
      <c r="B159" s="19" t="n"/>
      <c r="C159" s="19" t="n"/>
      <c r="D159" s="20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21" t="n"/>
      <c r="O159" s="19" t="n"/>
      <c r="P159" s="19" t="n"/>
      <c r="Q159" s="19" t="n"/>
      <c r="R159" s="19" t="n"/>
      <c r="S159" s="18">
        <f>IF(D159="","",INDEX(Guide!$B$18:$B$25,MATCH(D159,Guide!$A$18:$A$25,1)))</f>
        <v/>
      </c>
      <c r="T159" s="18">
        <f>IF(OR(C159="",P159="",Q159="",R159="",D159=""),"",ROUND(C159*Guide!$B$9+P159*Guide!$B$10+S159*Guide!$B$11+Q159*Guide!$B$12+(100-R159)*Guide!$B$13,1))</f>
        <v/>
      </c>
      <c r="U159" s="18">
        <f>IF(T159="","",IF(T159&gt;=Guide!$B$15,"PRIORITY","Low"))</f>
        <v/>
      </c>
    </row>
    <row r="160">
      <c r="A160" s="19" t="n"/>
      <c r="B160" s="19" t="n"/>
      <c r="C160" s="19" t="n"/>
      <c r="D160" s="20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21" t="n"/>
      <c r="O160" s="19" t="n"/>
      <c r="P160" s="19" t="n"/>
      <c r="Q160" s="19" t="n"/>
      <c r="R160" s="19" t="n"/>
      <c r="S160" s="18">
        <f>IF(D160="","",INDEX(Guide!$B$18:$B$25,MATCH(D160,Guide!$A$18:$A$25,1)))</f>
        <v/>
      </c>
      <c r="T160" s="18">
        <f>IF(OR(C160="",P160="",Q160="",R160="",D160=""),"",ROUND(C160*Guide!$B$9+P160*Guide!$B$10+S160*Guide!$B$11+Q160*Guide!$B$12+(100-R160)*Guide!$B$13,1))</f>
        <v/>
      </c>
      <c r="U160" s="18">
        <f>IF(T160="","",IF(T160&gt;=Guide!$B$15,"PRIORITY","Low"))</f>
        <v/>
      </c>
    </row>
    <row r="161">
      <c r="A161" s="19" t="n"/>
      <c r="B161" s="19" t="n"/>
      <c r="C161" s="19" t="n"/>
      <c r="D161" s="20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21" t="n"/>
      <c r="O161" s="19" t="n"/>
      <c r="P161" s="19" t="n"/>
      <c r="Q161" s="19" t="n"/>
      <c r="R161" s="19" t="n"/>
      <c r="S161" s="18">
        <f>IF(D161="","",INDEX(Guide!$B$18:$B$25,MATCH(D161,Guide!$A$18:$A$25,1)))</f>
        <v/>
      </c>
      <c r="T161" s="18">
        <f>IF(OR(C161="",P161="",Q161="",R161="",D161=""),"",ROUND(C161*Guide!$B$9+P161*Guide!$B$10+S161*Guide!$B$11+Q161*Guide!$B$12+(100-R161)*Guide!$B$13,1))</f>
        <v/>
      </c>
      <c r="U161" s="18">
        <f>IF(T161="","",IF(T161&gt;=Guide!$B$15,"PRIORITY","Low"))</f>
        <v/>
      </c>
    </row>
    <row r="162">
      <c r="A162" s="19" t="n"/>
      <c r="B162" s="19" t="n"/>
      <c r="C162" s="19" t="n"/>
      <c r="D162" s="20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21" t="n"/>
      <c r="O162" s="19" t="n"/>
      <c r="P162" s="19" t="n"/>
      <c r="Q162" s="19" t="n"/>
      <c r="R162" s="19" t="n"/>
      <c r="S162" s="18">
        <f>IF(D162="","",INDEX(Guide!$B$18:$B$25,MATCH(D162,Guide!$A$18:$A$25,1)))</f>
        <v/>
      </c>
      <c r="T162" s="18">
        <f>IF(OR(C162="",P162="",Q162="",R162="",D162=""),"",ROUND(C162*Guide!$B$9+P162*Guide!$B$10+S162*Guide!$B$11+Q162*Guide!$B$12+(100-R162)*Guide!$B$13,1))</f>
        <v/>
      </c>
      <c r="U162" s="18">
        <f>IF(T162="","",IF(T162&gt;=Guide!$B$15,"PRIORITY","Low"))</f>
        <v/>
      </c>
    </row>
    <row r="163">
      <c r="A163" s="19" t="n"/>
      <c r="B163" s="19" t="n"/>
      <c r="C163" s="19" t="n"/>
      <c r="D163" s="20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21" t="n"/>
      <c r="O163" s="19" t="n"/>
      <c r="P163" s="19" t="n"/>
      <c r="Q163" s="19" t="n"/>
      <c r="R163" s="19" t="n"/>
      <c r="S163" s="18">
        <f>IF(D163="","",INDEX(Guide!$B$18:$B$25,MATCH(D163,Guide!$A$18:$A$25,1)))</f>
        <v/>
      </c>
      <c r="T163" s="18">
        <f>IF(OR(C163="",P163="",Q163="",R163="",D163=""),"",ROUND(C163*Guide!$B$9+P163*Guide!$B$10+S163*Guide!$B$11+Q163*Guide!$B$12+(100-R163)*Guide!$B$13,1))</f>
        <v/>
      </c>
      <c r="U163" s="18">
        <f>IF(T163="","",IF(T163&gt;=Guide!$B$15,"PRIORITY","Low"))</f>
        <v/>
      </c>
    </row>
    <row r="164">
      <c r="A164" s="19" t="n"/>
      <c r="B164" s="19" t="n"/>
      <c r="C164" s="19" t="n"/>
      <c r="D164" s="20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21" t="n"/>
      <c r="O164" s="19" t="n"/>
      <c r="P164" s="19" t="n"/>
      <c r="Q164" s="19" t="n"/>
      <c r="R164" s="19" t="n"/>
      <c r="S164" s="18">
        <f>IF(D164="","",INDEX(Guide!$B$18:$B$25,MATCH(D164,Guide!$A$18:$A$25,1)))</f>
        <v/>
      </c>
      <c r="T164" s="18">
        <f>IF(OR(C164="",P164="",Q164="",R164="",D164=""),"",ROUND(C164*Guide!$B$9+P164*Guide!$B$10+S164*Guide!$B$11+Q164*Guide!$B$12+(100-R164)*Guide!$B$13,1))</f>
        <v/>
      </c>
      <c r="U164" s="18">
        <f>IF(T164="","",IF(T164&gt;=Guide!$B$15,"PRIORITY","Low"))</f>
        <v/>
      </c>
    </row>
    <row r="165">
      <c r="A165" s="19" t="n"/>
      <c r="B165" s="19" t="n"/>
      <c r="C165" s="19" t="n"/>
      <c r="D165" s="20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21" t="n"/>
      <c r="O165" s="19" t="n"/>
      <c r="P165" s="19" t="n"/>
      <c r="Q165" s="19" t="n"/>
      <c r="R165" s="19" t="n"/>
      <c r="S165" s="18">
        <f>IF(D165="","",INDEX(Guide!$B$18:$B$25,MATCH(D165,Guide!$A$18:$A$25,1)))</f>
        <v/>
      </c>
      <c r="T165" s="18">
        <f>IF(OR(C165="",P165="",Q165="",R165="",D165=""),"",ROUND(C165*Guide!$B$9+P165*Guide!$B$10+S165*Guide!$B$11+Q165*Guide!$B$12+(100-R165)*Guide!$B$13,1))</f>
        <v/>
      </c>
      <c r="U165" s="18">
        <f>IF(T165="","",IF(T165&gt;=Guide!$B$15,"PRIORITY","Low"))</f>
        <v/>
      </c>
    </row>
    <row r="166">
      <c r="A166" s="19" t="n"/>
      <c r="B166" s="19" t="n"/>
      <c r="C166" s="19" t="n"/>
      <c r="D166" s="20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21" t="n"/>
      <c r="O166" s="19" t="n"/>
      <c r="P166" s="19" t="n"/>
      <c r="Q166" s="19" t="n"/>
      <c r="R166" s="19" t="n"/>
      <c r="S166" s="18">
        <f>IF(D166="","",INDEX(Guide!$B$18:$B$25,MATCH(D166,Guide!$A$18:$A$25,1)))</f>
        <v/>
      </c>
      <c r="T166" s="18">
        <f>IF(OR(C166="",P166="",Q166="",R166="",D166=""),"",ROUND(C166*Guide!$B$9+P166*Guide!$B$10+S166*Guide!$B$11+Q166*Guide!$B$12+(100-R166)*Guide!$B$13,1))</f>
        <v/>
      </c>
      <c r="U166" s="18">
        <f>IF(T166="","",IF(T166&gt;=Guide!$B$15,"PRIORITY","Low"))</f>
        <v/>
      </c>
    </row>
    <row r="167">
      <c r="A167" s="19" t="n"/>
      <c r="B167" s="19" t="n"/>
      <c r="C167" s="19" t="n"/>
      <c r="D167" s="20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21" t="n"/>
      <c r="O167" s="19" t="n"/>
      <c r="P167" s="19" t="n"/>
      <c r="Q167" s="19" t="n"/>
      <c r="R167" s="19" t="n"/>
      <c r="S167" s="18">
        <f>IF(D167="","",INDEX(Guide!$B$18:$B$25,MATCH(D167,Guide!$A$18:$A$25,1)))</f>
        <v/>
      </c>
      <c r="T167" s="18">
        <f>IF(OR(C167="",P167="",Q167="",R167="",D167=""),"",ROUND(C167*Guide!$B$9+P167*Guide!$B$10+S167*Guide!$B$11+Q167*Guide!$B$12+(100-R167)*Guide!$B$13,1))</f>
        <v/>
      </c>
      <c r="U167" s="18">
        <f>IF(T167="","",IF(T167&gt;=Guide!$B$15,"PRIORITY","Low"))</f>
        <v/>
      </c>
    </row>
    <row r="168">
      <c r="A168" s="19" t="n"/>
      <c r="B168" s="19" t="n"/>
      <c r="C168" s="19" t="n"/>
      <c r="D168" s="20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21" t="n"/>
      <c r="O168" s="19" t="n"/>
      <c r="P168" s="19" t="n"/>
      <c r="Q168" s="19" t="n"/>
      <c r="R168" s="19" t="n"/>
      <c r="S168" s="18">
        <f>IF(D168="","",INDEX(Guide!$B$18:$B$25,MATCH(D168,Guide!$A$18:$A$25,1)))</f>
        <v/>
      </c>
      <c r="T168" s="18">
        <f>IF(OR(C168="",P168="",Q168="",R168="",D168=""),"",ROUND(C168*Guide!$B$9+P168*Guide!$B$10+S168*Guide!$B$11+Q168*Guide!$B$12+(100-R168)*Guide!$B$13,1))</f>
        <v/>
      </c>
      <c r="U168" s="18">
        <f>IF(T168="","",IF(T168&gt;=Guide!$B$15,"PRIORITY","Low"))</f>
        <v/>
      </c>
    </row>
    <row r="169">
      <c r="A169" s="19" t="n"/>
      <c r="B169" s="19" t="n"/>
      <c r="C169" s="19" t="n"/>
      <c r="D169" s="20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21" t="n"/>
      <c r="O169" s="19" t="n"/>
      <c r="P169" s="19" t="n"/>
      <c r="Q169" s="19" t="n"/>
      <c r="R169" s="19" t="n"/>
      <c r="S169" s="18">
        <f>IF(D169="","",INDEX(Guide!$B$18:$B$25,MATCH(D169,Guide!$A$18:$A$25,1)))</f>
        <v/>
      </c>
      <c r="T169" s="18">
        <f>IF(OR(C169="",P169="",Q169="",R169="",D169=""),"",ROUND(C169*Guide!$B$9+P169*Guide!$B$10+S169*Guide!$B$11+Q169*Guide!$B$12+(100-R169)*Guide!$B$13,1))</f>
        <v/>
      </c>
      <c r="U169" s="18">
        <f>IF(T169="","",IF(T169&gt;=Guide!$B$15,"PRIORITY","Low"))</f>
        <v/>
      </c>
    </row>
    <row r="170">
      <c r="A170" s="19" t="n"/>
      <c r="B170" s="19" t="n"/>
      <c r="C170" s="19" t="n"/>
      <c r="D170" s="20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21" t="n"/>
      <c r="O170" s="19" t="n"/>
      <c r="P170" s="19" t="n"/>
      <c r="Q170" s="19" t="n"/>
      <c r="R170" s="19" t="n"/>
      <c r="S170" s="18">
        <f>IF(D170="","",INDEX(Guide!$B$18:$B$25,MATCH(D170,Guide!$A$18:$A$25,1)))</f>
        <v/>
      </c>
      <c r="T170" s="18">
        <f>IF(OR(C170="",P170="",Q170="",R170="",D170=""),"",ROUND(C170*Guide!$B$9+P170*Guide!$B$10+S170*Guide!$B$11+Q170*Guide!$B$12+(100-R170)*Guide!$B$13,1))</f>
        <v/>
      </c>
      <c r="U170" s="18">
        <f>IF(T170="","",IF(T170&gt;=Guide!$B$15,"PRIORITY","Low"))</f>
        <v/>
      </c>
    </row>
    <row r="171">
      <c r="A171" s="19" t="n"/>
      <c r="B171" s="19" t="n"/>
      <c r="C171" s="19" t="n"/>
      <c r="D171" s="20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21" t="n"/>
      <c r="O171" s="19" t="n"/>
      <c r="P171" s="19" t="n"/>
      <c r="Q171" s="19" t="n"/>
      <c r="R171" s="19" t="n"/>
      <c r="S171" s="18">
        <f>IF(D171="","",INDEX(Guide!$B$18:$B$25,MATCH(D171,Guide!$A$18:$A$25,1)))</f>
        <v/>
      </c>
      <c r="T171" s="18">
        <f>IF(OR(C171="",P171="",Q171="",R171="",D171=""),"",ROUND(C171*Guide!$B$9+P171*Guide!$B$10+S171*Guide!$B$11+Q171*Guide!$B$12+(100-R171)*Guide!$B$13,1))</f>
        <v/>
      </c>
      <c r="U171" s="18">
        <f>IF(T171="","",IF(T171&gt;=Guide!$B$15,"PRIORITY","Low"))</f>
        <v/>
      </c>
    </row>
    <row r="172">
      <c r="A172" s="19" t="n"/>
      <c r="B172" s="19" t="n"/>
      <c r="C172" s="19" t="n"/>
      <c r="D172" s="20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21" t="n"/>
      <c r="O172" s="19" t="n"/>
      <c r="P172" s="19" t="n"/>
      <c r="Q172" s="19" t="n"/>
      <c r="R172" s="19" t="n"/>
      <c r="S172" s="18">
        <f>IF(D172="","",INDEX(Guide!$B$18:$B$25,MATCH(D172,Guide!$A$18:$A$25,1)))</f>
        <v/>
      </c>
      <c r="T172" s="18">
        <f>IF(OR(C172="",P172="",Q172="",R172="",D172=""),"",ROUND(C172*Guide!$B$9+P172*Guide!$B$10+S172*Guide!$B$11+Q172*Guide!$B$12+(100-R172)*Guide!$B$13,1))</f>
        <v/>
      </c>
      <c r="U172" s="18">
        <f>IF(T172="","",IF(T172&gt;=Guide!$B$15,"PRIORITY","Low"))</f>
        <v/>
      </c>
    </row>
    <row r="173">
      <c r="A173" s="19" t="n"/>
      <c r="B173" s="19" t="n"/>
      <c r="C173" s="19" t="n"/>
      <c r="D173" s="20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21" t="n"/>
      <c r="O173" s="19" t="n"/>
      <c r="P173" s="19" t="n"/>
      <c r="Q173" s="19" t="n"/>
      <c r="R173" s="19" t="n"/>
      <c r="S173" s="18">
        <f>IF(D173="","",INDEX(Guide!$B$18:$B$25,MATCH(D173,Guide!$A$18:$A$25,1)))</f>
        <v/>
      </c>
      <c r="T173" s="18">
        <f>IF(OR(C173="",P173="",Q173="",R173="",D173=""),"",ROUND(C173*Guide!$B$9+P173*Guide!$B$10+S173*Guide!$B$11+Q173*Guide!$B$12+(100-R173)*Guide!$B$13,1))</f>
        <v/>
      </c>
      <c r="U173" s="18">
        <f>IF(T173="","",IF(T173&gt;=Guide!$B$15,"PRIORITY","Low"))</f>
        <v/>
      </c>
    </row>
    <row r="174">
      <c r="A174" s="19" t="n"/>
      <c r="B174" s="19" t="n"/>
      <c r="C174" s="19" t="n"/>
      <c r="D174" s="20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21" t="n"/>
      <c r="O174" s="19" t="n"/>
      <c r="P174" s="19" t="n"/>
      <c r="Q174" s="19" t="n"/>
      <c r="R174" s="19" t="n"/>
      <c r="S174" s="18">
        <f>IF(D174="","",INDEX(Guide!$B$18:$B$25,MATCH(D174,Guide!$A$18:$A$25,1)))</f>
        <v/>
      </c>
      <c r="T174" s="18">
        <f>IF(OR(C174="",P174="",Q174="",R174="",D174=""),"",ROUND(C174*Guide!$B$9+P174*Guide!$B$10+S174*Guide!$B$11+Q174*Guide!$B$12+(100-R174)*Guide!$B$13,1))</f>
        <v/>
      </c>
      <c r="U174" s="18">
        <f>IF(T174="","",IF(T174&gt;=Guide!$B$15,"PRIORITY","Low"))</f>
        <v/>
      </c>
    </row>
    <row r="175">
      <c r="A175" s="19" t="n"/>
      <c r="B175" s="19" t="n"/>
      <c r="C175" s="19" t="n"/>
      <c r="D175" s="20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21" t="n"/>
      <c r="O175" s="19" t="n"/>
      <c r="P175" s="19" t="n"/>
      <c r="Q175" s="19" t="n"/>
      <c r="R175" s="19" t="n"/>
      <c r="S175" s="18">
        <f>IF(D175="","",INDEX(Guide!$B$18:$B$25,MATCH(D175,Guide!$A$18:$A$25,1)))</f>
        <v/>
      </c>
      <c r="T175" s="18">
        <f>IF(OR(C175="",P175="",Q175="",R175="",D175=""),"",ROUND(C175*Guide!$B$9+P175*Guide!$B$10+S175*Guide!$B$11+Q175*Guide!$B$12+(100-R175)*Guide!$B$13,1))</f>
        <v/>
      </c>
      <c r="U175" s="18">
        <f>IF(T175="","",IF(T175&gt;=Guide!$B$15,"PRIORITY","Low"))</f>
        <v/>
      </c>
    </row>
    <row r="176">
      <c r="A176" s="19" t="n"/>
      <c r="B176" s="19" t="n"/>
      <c r="C176" s="19" t="n"/>
      <c r="D176" s="20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21" t="n"/>
      <c r="O176" s="19" t="n"/>
      <c r="P176" s="19" t="n"/>
      <c r="Q176" s="19" t="n"/>
      <c r="R176" s="19" t="n"/>
      <c r="S176" s="18">
        <f>IF(D176="","",INDEX(Guide!$B$18:$B$25,MATCH(D176,Guide!$A$18:$A$25,1)))</f>
        <v/>
      </c>
      <c r="T176" s="18">
        <f>IF(OR(C176="",P176="",Q176="",R176="",D176=""),"",ROUND(C176*Guide!$B$9+P176*Guide!$B$10+S176*Guide!$B$11+Q176*Guide!$B$12+(100-R176)*Guide!$B$13,1))</f>
        <v/>
      </c>
      <c r="U176" s="18">
        <f>IF(T176="","",IF(T176&gt;=Guide!$B$15,"PRIORITY","Low"))</f>
        <v/>
      </c>
    </row>
    <row r="177">
      <c r="A177" s="19" t="n"/>
      <c r="B177" s="19" t="n"/>
      <c r="C177" s="19" t="n"/>
      <c r="D177" s="20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21" t="n"/>
      <c r="O177" s="19" t="n"/>
      <c r="P177" s="19" t="n"/>
      <c r="Q177" s="19" t="n"/>
      <c r="R177" s="19" t="n"/>
      <c r="S177" s="18">
        <f>IF(D177="","",INDEX(Guide!$B$18:$B$25,MATCH(D177,Guide!$A$18:$A$25,1)))</f>
        <v/>
      </c>
      <c r="T177" s="18">
        <f>IF(OR(C177="",P177="",Q177="",R177="",D177=""),"",ROUND(C177*Guide!$B$9+P177*Guide!$B$10+S177*Guide!$B$11+Q177*Guide!$B$12+(100-R177)*Guide!$B$13,1))</f>
        <v/>
      </c>
      <c r="U177" s="18">
        <f>IF(T177="","",IF(T177&gt;=Guide!$B$15,"PRIORITY","Low"))</f>
        <v/>
      </c>
    </row>
    <row r="178">
      <c r="A178" s="19" t="n"/>
      <c r="B178" s="19" t="n"/>
      <c r="C178" s="19" t="n"/>
      <c r="D178" s="20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21" t="n"/>
      <c r="O178" s="19" t="n"/>
      <c r="P178" s="19" t="n"/>
      <c r="Q178" s="19" t="n"/>
      <c r="R178" s="19" t="n"/>
      <c r="S178" s="18">
        <f>IF(D178="","",INDEX(Guide!$B$18:$B$25,MATCH(D178,Guide!$A$18:$A$25,1)))</f>
        <v/>
      </c>
      <c r="T178" s="18">
        <f>IF(OR(C178="",P178="",Q178="",R178="",D178=""),"",ROUND(C178*Guide!$B$9+P178*Guide!$B$10+S178*Guide!$B$11+Q178*Guide!$B$12+(100-R178)*Guide!$B$13,1))</f>
        <v/>
      </c>
      <c r="U178" s="18">
        <f>IF(T178="","",IF(T178&gt;=Guide!$B$15,"PRIORITY","Low"))</f>
        <v/>
      </c>
    </row>
    <row r="179">
      <c r="A179" s="19" t="n"/>
      <c r="B179" s="19" t="n"/>
      <c r="C179" s="19" t="n"/>
      <c r="D179" s="20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21" t="n"/>
      <c r="O179" s="19" t="n"/>
      <c r="P179" s="19" t="n"/>
      <c r="Q179" s="19" t="n"/>
      <c r="R179" s="19" t="n"/>
      <c r="S179" s="18">
        <f>IF(D179="","",INDEX(Guide!$B$18:$B$25,MATCH(D179,Guide!$A$18:$A$25,1)))</f>
        <v/>
      </c>
      <c r="T179" s="18">
        <f>IF(OR(C179="",P179="",Q179="",R179="",D179=""),"",ROUND(C179*Guide!$B$9+P179*Guide!$B$10+S179*Guide!$B$11+Q179*Guide!$B$12+(100-R179)*Guide!$B$13,1))</f>
        <v/>
      </c>
      <c r="U179" s="18">
        <f>IF(T179="","",IF(T179&gt;=Guide!$B$15,"PRIORITY","Low"))</f>
        <v/>
      </c>
    </row>
    <row r="180">
      <c r="A180" s="19" t="n"/>
      <c r="B180" s="19" t="n"/>
      <c r="C180" s="19" t="n"/>
      <c r="D180" s="20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21" t="n"/>
      <c r="O180" s="19" t="n"/>
      <c r="P180" s="19" t="n"/>
      <c r="Q180" s="19" t="n"/>
      <c r="R180" s="19" t="n"/>
      <c r="S180" s="18">
        <f>IF(D180="","",INDEX(Guide!$B$18:$B$25,MATCH(D180,Guide!$A$18:$A$25,1)))</f>
        <v/>
      </c>
      <c r="T180" s="18">
        <f>IF(OR(C180="",P180="",Q180="",R180="",D180=""),"",ROUND(C180*Guide!$B$9+P180*Guide!$B$10+S180*Guide!$B$11+Q180*Guide!$B$12+(100-R180)*Guide!$B$13,1))</f>
        <v/>
      </c>
      <c r="U180" s="18">
        <f>IF(T180="","",IF(T180&gt;=Guide!$B$15,"PRIORITY","Low"))</f>
        <v/>
      </c>
    </row>
    <row r="181">
      <c r="A181" s="19" t="n"/>
      <c r="B181" s="19" t="n"/>
      <c r="C181" s="19" t="n"/>
      <c r="D181" s="20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21" t="n"/>
      <c r="O181" s="19" t="n"/>
      <c r="P181" s="19" t="n"/>
      <c r="Q181" s="19" t="n"/>
      <c r="R181" s="19" t="n"/>
      <c r="S181" s="18">
        <f>IF(D181="","",INDEX(Guide!$B$18:$B$25,MATCH(D181,Guide!$A$18:$A$25,1)))</f>
        <v/>
      </c>
      <c r="T181" s="18">
        <f>IF(OR(C181="",P181="",Q181="",R181="",D181=""),"",ROUND(C181*Guide!$B$9+P181*Guide!$B$10+S181*Guide!$B$11+Q181*Guide!$B$12+(100-R181)*Guide!$B$13,1))</f>
        <v/>
      </c>
      <c r="U181" s="18">
        <f>IF(T181="","",IF(T181&gt;=Guide!$B$15,"PRIORITY","Low"))</f>
        <v/>
      </c>
    </row>
    <row r="182">
      <c r="A182" s="19" t="n"/>
      <c r="B182" s="19" t="n"/>
      <c r="C182" s="19" t="n"/>
      <c r="D182" s="20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21" t="n"/>
      <c r="O182" s="19" t="n"/>
      <c r="P182" s="19" t="n"/>
      <c r="Q182" s="19" t="n"/>
      <c r="R182" s="19" t="n"/>
      <c r="S182" s="18">
        <f>IF(D182="","",INDEX(Guide!$B$18:$B$25,MATCH(D182,Guide!$A$18:$A$25,1)))</f>
        <v/>
      </c>
      <c r="T182" s="18">
        <f>IF(OR(C182="",P182="",Q182="",R182="",D182=""),"",ROUND(C182*Guide!$B$9+P182*Guide!$B$10+S182*Guide!$B$11+Q182*Guide!$B$12+(100-R182)*Guide!$B$13,1))</f>
        <v/>
      </c>
      <c r="U182" s="18">
        <f>IF(T182="","",IF(T182&gt;=Guide!$B$15,"PRIORITY","Low"))</f>
        <v/>
      </c>
    </row>
    <row r="183">
      <c r="A183" s="19" t="n"/>
      <c r="B183" s="19" t="n"/>
      <c r="C183" s="19" t="n"/>
      <c r="D183" s="20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21" t="n"/>
      <c r="O183" s="19" t="n"/>
      <c r="P183" s="19" t="n"/>
      <c r="Q183" s="19" t="n"/>
      <c r="R183" s="19" t="n"/>
      <c r="S183" s="18">
        <f>IF(D183="","",INDEX(Guide!$B$18:$B$25,MATCH(D183,Guide!$A$18:$A$25,1)))</f>
        <v/>
      </c>
      <c r="T183" s="18">
        <f>IF(OR(C183="",P183="",Q183="",R183="",D183=""),"",ROUND(C183*Guide!$B$9+P183*Guide!$B$10+S183*Guide!$B$11+Q183*Guide!$B$12+(100-R183)*Guide!$B$13,1))</f>
        <v/>
      </c>
      <c r="U183" s="18">
        <f>IF(T183="","",IF(T183&gt;=Guide!$B$15,"PRIORITY","Low"))</f>
        <v/>
      </c>
    </row>
    <row r="184">
      <c r="A184" s="19" t="n"/>
      <c r="B184" s="19" t="n"/>
      <c r="C184" s="19" t="n"/>
      <c r="D184" s="20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21" t="n"/>
      <c r="O184" s="19" t="n"/>
      <c r="P184" s="19" t="n"/>
      <c r="Q184" s="19" t="n"/>
      <c r="R184" s="19" t="n"/>
      <c r="S184" s="18">
        <f>IF(D184="","",INDEX(Guide!$B$18:$B$25,MATCH(D184,Guide!$A$18:$A$25,1)))</f>
        <v/>
      </c>
      <c r="T184" s="18">
        <f>IF(OR(C184="",P184="",Q184="",R184="",D184=""),"",ROUND(C184*Guide!$B$9+P184*Guide!$B$10+S184*Guide!$B$11+Q184*Guide!$B$12+(100-R184)*Guide!$B$13,1))</f>
        <v/>
      </c>
      <c r="U184" s="18">
        <f>IF(T184="","",IF(T184&gt;=Guide!$B$15,"PRIORITY","Low"))</f>
        <v/>
      </c>
    </row>
    <row r="185">
      <c r="A185" s="19" t="n"/>
      <c r="B185" s="19" t="n"/>
      <c r="C185" s="19" t="n"/>
      <c r="D185" s="20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21" t="n"/>
      <c r="O185" s="19" t="n"/>
      <c r="P185" s="19" t="n"/>
      <c r="Q185" s="19" t="n"/>
      <c r="R185" s="19" t="n"/>
      <c r="S185" s="18">
        <f>IF(D185="","",INDEX(Guide!$B$18:$B$25,MATCH(D185,Guide!$A$18:$A$25,1)))</f>
        <v/>
      </c>
      <c r="T185" s="18">
        <f>IF(OR(C185="",P185="",Q185="",R185="",D185=""),"",ROUND(C185*Guide!$B$9+P185*Guide!$B$10+S185*Guide!$B$11+Q185*Guide!$B$12+(100-R185)*Guide!$B$13,1))</f>
        <v/>
      </c>
      <c r="U185" s="18">
        <f>IF(T185="","",IF(T185&gt;=Guide!$B$15,"PRIORITY","Low"))</f>
        <v/>
      </c>
    </row>
    <row r="186">
      <c r="A186" s="19" t="n"/>
      <c r="B186" s="19" t="n"/>
      <c r="C186" s="19" t="n"/>
      <c r="D186" s="20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21" t="n"/>
      <c r="O186" s="19" t="n"/>
      <c r="P186" s="19" t="n"/>
      <c r="Q186" s="19" t="n"/>
      <c r="R186" s="19" t="n"/>
      <c r="S186" s="18">
        <f>IF(D186="","",INDEX(Guide!$B$18:$B$25,MATCH(D186,Guide!$A$18:$A$25,1)))</f>
        <v/>
      </c>
      <c r="T186" s="18">
        <f>IF(OR(C186="",P186="",Q186="",R186="",D186=""),"",ROUND(C186*Guide!$B$9+P186*Guide!$B$10+S186*Guide!$B$11+Q186*Guide!$B$12+(100-R186)*Guide!$B$13,1))</f>
        <v/>
      </c>
      <c r="U186" s="18">
        <f>IF(T186="","",IF(T186&gt;=Guide!$B$15,"PRIORITY","Low"))</f>
        <v/>
      </c>
    </row>
    <row r="187">
      <c r="A187" s="19" t="n"/>
      <c r="B187" s="19" t="n"/>
      <c r="C187" s="19" t="n"/>
      <c r="D187" s="20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21" t="n"/>
      <c r="O187" s="19" t="n"/>
      <c r="P187" s="19" t="n"/>
      <c r="Q187" s="19" t="n"/>
      <c r="R187" s="19" t="n"/>
      <c r="S187" s="18">
        <f>IF(D187="","",INDEX(Guide!$B$18:$B$25,MATCH(D187,Guide!$A$18:$A$25,1)))</f>
        <v/>
      </c>
      <c r="T187" s="18">
        <f>IF(OR(C187="",P187="",Q187="",R187="",D187=""),"",ROUND(C187*Guide!$B$9+P187*Guide!$B$10+S187*Guide!$B$11+Q187*Guide!$B$12+(100-R187)*Guide!$B$13,1))</f>
        <v/>
      </c>
      <c r="U187" s="18">
        <f>IF(T187="","",IF(T187&gt;=Guide!$B$15,"PRIORITY","Low"))</f>
        <v/>
      </c>
    </row>
    <row r="188">
      <c r="A188" s="19" t="n"/>
      <c r="B188" s="19" t="n"/>
      <c r="C188" s="19" t="n"/>
      <c r="D188" s="20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21" t="n"/>
      <c r="O188" s="19" t="n"/>
      <c r="P188" s="19" t="n"/>
      <c r="Q188" s="19" t="n"/>
      <c r="R188" s="19" t="n"/>
      <c r="S188" s="18">
        <f>IF(D188="","",INDEX(Guide!$B$18:$B$25,MATCH(D188,Guide!$A$18:$A$25,1)))</f>
        <v/>
      </c>
      <c r="T188" s="18">
        <f>IF(OR(C188="",P188="",Q188="",R188="",D188=""),"",ROUND(C188*Guide!$B$9+P188*Guide!$B$10+S188*Guide!$B$11+Q188*Guide!$B$12+(100-R188)*Guide!$B$13,1))</f>
        <v/>
      </c>
      <c r="U188" s="18">
        <f>IF(T188="","",IF(T188&gt;=Guide!$B$15,"PRIORITY","Low"))</f>
        <v/>
      </c>
    </row>
    <row r="189">
      <c r="A189" s="19" t="n"/>
      <c r="B189" s="19" t="n"/>
      <c r="C189" s="19" t="n"/>
      <c r="D189" s="20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21" t="n"/>
      <c r="O189" s="19" t="n"/>
      <c r="P189" s="19" t="n"/>
      <c r="Q189" s="19" t="n"/>
      <c r="R189" s="19" t="n"/>
      <c r="S189" s="18">
        <f>IF(D189="","",INDEX(Guide!$B$18:$B$25,MATCH(D189,Guide!$A$18:$A$25,1)))</f>
        <v/>
      </c>
      <c r="T189" s="18">
        <f>IF(OR(C189="",P189="",Q189="",R189="",D189=""),"",ROUND(C189*Guide!$B$9+P189*Guide!$B$10+S189*Guide!$B$11+Q189*Guide!$B$12+(100-R189)*Guide!$B$13,1))</f>
        <v/>
      </c>
      <c r="U189" s="18">
        <f>IF(T189="","",IF(T189&gt;=Guide!$B$15,"PRIORITY","Low"))</f>
        <v/>
      </c>
    </row>
    <row r="190">
      <c r="A190" s="19" t="n"/>
      <c r="B190" s="19" t="n"/>
      <c r="C190" s="19" t="n"/>
      <c r="D190" s="20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21" t="n"/>
      <c r="O190" s="19" t="n"/>
      <c r="P190" s="19" t="n"/>
      <c r="Q190" s="19" t="n"/>
      <c r="R190" s="19" t="n"/>
      <c r="S190" s="18">
        <f>IF(D190="","",INDEX(Guide!$B$18:$B$25,MATCH(D190,Guide!$A$18:$A$25,1)))</f>
        <v/>
      </c>
      <c r="T190" s="18">
        <f>IF(OR(C190="",P190="",Q190="",R190="",D190=""),"",ROUND(C190*Guide!$B$9+P190*Guide!$B$10+S190*Guide!$B$11+Q190*Guide!$B$12+(100-R190)*Guide!$B$13,1))</f>
        <v/>
      </c>
      <c r="U190" s="18">
        <f>IF(T190="","",IF(T190&gt;=Guide!$B$15,"PRIORITY","Low"))</f>
        <v/>
      </c>
    </row>
    <row r="191">
      <c r="A191" s="19" t="n"/>
      <c r="B191" s="19" t="n"/>
      <c r="C191" s="19" t="n"/>
      <c r="D191" s="20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21" t="n"/>
      <c r="O191" s="19" t="n"/>
      <c r="P191" s="19" t="n"/>
      <c r="Q191" s="19" t="n"/>
      <c r="R191" s="19" t="n"/>
      <c r="S191" s="18">
        <f>IF(D191="","",INDEX(Guide!$B$18:$B$25,MATCH(D191,Guide!$A$18:$A$25,1)))</f>
        <v/>
      </c>
      <c r="T191" s="18">
        <f>IF(OR(C191="",P191="",Q191="",R191="",D191=""),"",ROUND(C191*Guide!$B$9+P191*Guide!$B$10+S191*Guide!$B$11+Q191*Guide!$B$12+(100-R191)*Guide!$B$13,1))</f>
        <v/>
      </c>
      <c r="U191" s="18">
        <f>IF(T191="","",IF(T191&gt;=Guide!$B$15,"PRIORITY","Low"))</f>
        <v/>
      </c>
    </row>
    <row r="192">
      <c r="A192" s="19" t="n"/>
      <c r="B192" s="19" t="n"/>
      <c r="C192" s="19" t="n"/>
      <c r="D192" s="20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21" t="n"/>
      <c r="O192" s="19" t="n"/>
      <c r="P192" s="19" t="n"/>
      <c r="Q192" s="19" t="n"/>
      <c r="R192" s="19" t="n"/>
      <c r="S192" s="18">
        <f>IF(D192="","",INDEX(Guide!$B$18:$B$25,MATCH(D192,Guide!$A$18:$A$25,1)))</f>
        <v/>
      </c>
      <c r="T192" s="18">
        <f>IF(OR(C192="",P192="",Q192="",R192="",D192=""),"",ROUND(C192*Guide!$B$9+P192*Guide!$B$10+S192*Guide!$B$11+Q192*Guide!$B$12+(100-R192)*Guide!$B$13,1))</f>
        <v/>
      </c>
      <c r="U192" s="18">
        <f>IF(T192="","",IF(T192&gt;=Guide!$B$15,"PRIORITY","Low"))</f>
        <v/>
      </c>
    </row>
    <row r="193">
      <c r="A193" s="19" t="n"/>
      <c r="B193" s="19" t="n"/>
      <c r="C193" s="19" t="n"/>
      <c r="D193" s="20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21" t="n"/>
      <c r="O193" s="19" t="n"/>
      <c r="P193" s="19" t="n"/>
      <c r="Q193" s="19" t="n"/>
      <c r="R193" s="19" t="n"/>
      <c r="S193" s="18">
        <f>IF(D193="","",INDEX(Guide!$B$18:$B$25,MATCH(D193,Guide!$A$18:$A$25,1)))</f>
        <v/>
      </c>
      <c r="T193" s="18">
        <f>IF(OR(C193="",P193="",Q193="",R193="",D193=""),"",ROUND(C193*Guide!$B$9+P193*Guide!$B$10+S193*Guide!$B$11+Q193*Guide!$B$12+(100-R193)*Guide!$B$13,1))</f>
        <v/>
      </c>
      <c r="U193" s="18">
        <f>IF(T193="","",IF(T193&gt;=Guide!$B$15,"PRIORITY","Low"))</f>
        <v/>
      </c>
    </row>
    <row r="194">
      <c r="A194" s="19" t="n"/>
      <c r="B194" s="19" t="n"/>
      <c r="C194" s="19" t="n"/>
      <c r="D194" s="20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21" t="n"/>
      <c r="O194" s="19" t="n"/>
      <c r="P194" s="19" t="n"/>
      <c r="Q194" s="19" t="n"/>
      <c r="R194" s="19" t="n"/>
      <c r="S194" s="18">
        <f>IF(D194="","",INDEX(Guide!$B$18:$B$25,MATCH(D194,Guide!$A$18:$A$25,1)))</f>
        <v/>
      </c>
      <c r="T194" s="18">
        <f>IF(OR(C194="",P194="",Q194="",R194="",D194=""),"",ROUND(C194*Guide!$B$9+P194*Guide!$B$10+S194*Guide!$B$11+Q194*Guide!$B$12+(100-R194)*Guide!$B$13,1))</f>
        <v/>
      </c>
      <c r="U194" s="18">
        <f>IF(T194="","",IF(T194&gt;=Guide!$B$15,"PRIORITY","Low"))</f>
        <v/>
      </c>
    </row>
    <row r="195">
      <c r="A195" s="19" t="n"/>
      <c r="B195" s="19" t="n"/>
      <c r="C195" s="19" t="n"/>
      <c r="D195" s="20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21" t="n"/>
      <c r="O195" s="19" t="n"/>
      <c r="P195" s="19" t="n"/>
      <c r="Q195" s="19" t="n"/>
      <c r="R195" s="19" t="n"/>
      <c r="S195" s="18">
        <f>IF(D195="","",INDEX(Guide!$B$18:$B$25,MATCH(D195,Guide!$A$18:$A$25,1)))</f>
        <v/>
      </c>
      <c r="T195" s="18">
        <f>IF(OR(C195="",P195="",Q195="",R195="",D195=""),"",ROUND(C195*Guide!$B$9+P195*Guide!$B$10+S195*Guide!$B$11+Q195*Guide!$B$12+(100-R195)*Guide!$B$13,1))</f>
        <v/>
      </c>
      <c r="U195" s="18">
        <f>IF(T195="","",IF(T195&gt;=Guide!$B$15,"PRIORITY","Low"))</f>
        <v/>
      </c>
    </row>
    <row r="196">
      <c r="A196" s="19" t="n"/>
      <c r="B196" s="19" t="n"/>
      <c r="C196" s="19" t="n"/>
      <c r="D196" s="20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21" t="n"/>
      <c r="O196" s="19" t="n"/>
      <c r="P196" s="19" t="n"/>
      <c r="Q196" s="19" t="n"/>
      <c r="R196" s="19" t="n"/>
      <c r="S196" s="18">
        <f>IF(D196="","",INDEX(Guide!$B$18:$B$25,MATCH(D196,Guide!$A$18:$A$25,1)))</f>
        <v/>
      </c>
      <c r="T196" s="18">
        <f>IF(OR(C196="",P196="",Q196="",R196="",D196=""),"",ROUND(C196*Guide!$B$9+P196*Guide!$B$10+S196*Guide!$B$11+Q196*Guide!$B$12+(100-R196)*Guide!$B$13,1))</f>
        <v/>
      </c>
      <c r="U196" s="18">
        <f>IF(T196="","",IF(T196&gt;=Guide!$B$15,"PRIORITY","Low"))</f>
        <v/>
      </c>
    </row>
    <row r="197">
      <c r="A197" s="19" t="n"/>
      <c r="B197" s="19" t="n"/>
      <c r="C197" s="19" t="n"/>
      <c r="D197" s="20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21" t="n"/>
      <c r="O197" s="19" t="n"/>
      <c r="P197" s="19" t="n"/>
      <c r="Q197" s="19" t="n"/>
      <c r="R197" s="19" t="n"/>
      <c r="S197" s="18">
        <f>IF(D197="","",INDEX(Guide!$B$18:$B$25,MATCH(D197,Guide!$A$18:$A$25,1)))</f>
        <v/>
      </c>
      <c r="T197" s="18">
        <f>IF(OR(C197="",P197="",Q197="",R197="",D197=""),"",ROUND(C197*Guide!$B$9+P197*Guide!$B$10+S197*Guide!$B$11+Q197*Guide!$B$12+(100-R197)*Guide!$B$13,1))</f>
        <v/>
      </c>
      <c r="U197" s="18">
        <f>IF(T197="","",IF(T197&gt;=Guide!$B$15,"PRIORITY","Low"))</f>
        <v/>
      </c>
    </row>
    <row r="198">
      <c r="A198" s="19" t="n"/>
      <c r="B198" s="19" t="n"/>
      <c r="C198" s="19" t="n"/>
      <c r="D198" s="20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21" t="n"/>
      <c r="O198" s="19" t="n"/>
      <c r="P198" s="19" t="n"/>
      <c r="Q198" s="19" t="n"/>
      <c r="R198" s="19" t="n"/>
      <c r="S198" s="18">
        <f>IF(D198="","",INDEX(Guide!$B$18:$B$25,MATCH(D198,Guide!$A$18:$A$25,1)))</f>
        <v/>
      </c>
      <c r="T198" s="18">
        <f>IF(OR(C198="",P198="",Q198="",R198="",D198=""),"",ROUND(C198*Guide!$B$9+P198*Guide!$B$10+S198*Guide!$B$11+Q198*Guide!$B$12+(100-R198)*Guide!$B$13,1))</f>
        <v/>
      </c>
      <c r="U198" s="18">
        <f>IF(T198="","",IF(T198&gt;=Guide!$B$15,"PRIORITY","Low"))</f>
        <v/>
      </c>
    </row>
    <row r="199">
      <c r="A199" s="19" t="n"/>
      <c r="B199" s="19" t="n"/>
      <c r="C199" s="19" t="n"/>
      <c r="D199" s="20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21" t="n"/>
      <c r="O199" s="19" t="n"/>
      <c r="P199" s="19" t="n"/>
      <c r="Q199" s="19" t="n"/>
      <c r="R199" s="19" t="n"/>
      <c r="S199" s="18">
        <f>IF(D199="","",INDEX(Guide!$B$18:$B$25,MATCH(D199,Guide!$A$18:$A$25,1)))</f>
        <v/>
      </c>
      <c r="T199" s="18">
        <f>IF(OR(C199="",P199="",Q199="",R199="",D199=""),"",ROUND(C199*Guide!$B$9+P199*Guide!$B$10+S199*Guide!$B$11+Q199*Guide!$B$12+(100-R199)*Guide!$B$13,1))</f>
        <v/>
      </c>
      <c r="U199" s="18">
        <f>IF(T199="","",IF(T199&gt;=Guide!$B$15,"PRIORITY","Low"))</f>
        <v/>
      </c>
    </row>
    <row r="200">
      <c r="A200" s="19" t="n"/>
      <c r="B200" s="19" t="n"/>
      <c r="C200" s="19" t="n"/>
      <c r="D200" s="20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21" t="n"/>
      <c r="O200" s="19" t="n"/>
      <c r="P200" s="19" t="n"/>
      <c r="Q200" s="19" t="n"/>
      <c r="R200" s="19" t="n"/>
      <c r="S200" s="18">
        <f>IF(D200="","",INDEX(Guide!$B$18:$B$25,MATCH(D200,Guide!$A$18:$A$25,1)))</f>
        <v/>
      </c>
      <c r="T200" s="18">
        <f>IF(OR(C200="",P200="",Q200="",R200="",D200=""),"",ROUND(C200*Guide!$B$9+P200*Guide!$B$10+S200*Guide!$B$11+Q200*Guide!$B$12+(100-R200)*Guide!$B$13,1))</f>
        <v/>
      </c>
      <c r="U200" s="18">
        <f>IF(T200="","",IF(T200&gt;=Guide!$B$15,"PRIORITY","Low"))</f>
        <v/>
      </c>
    </row>
    <row r="201">
      <c r="A201" s="19" t="n"/>
      <c r="B201" s="19" t="n"/>
      <c r="C201" s="19" t="n"/>
      <c r="D201" s="20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21" t="n"/>
      <c r="O201" s="19" t="n"/>
      <c r="P201" s="19" t="n"/>
      <c r="Q201" s="19" t="n"/>
      <c r="R201" s="19" t="n"/>
      <c r="S201" s="18">
        <f>IF(D201="","",INDEX(Guide!$B$18:$B$25,MATCH(D201,Guide!$A$18:$A$25,1)))</f>
        <v/>
      </c>
      <c r="T201" s="18">
        <f>IF(OR(C201="",P201="",Q201="",R201="",D201=""),"",ROUND(C201*Guide!$B$9+P201*Guide!$B$10+S201*Guide!$B$11+Q201*Guide!$B$12+(100-R201)*Guide!$B$13,1))</f>
        <v/>
      </c>
      <c r="U201" s="18">
        <f>IF(T201="","",IF(T201&gt;=Guide!$B$15,"PRIORITY","Low"))</f>
        <v/>
      </c>
    </row>
    <row r="202">
      <c r="A202" s="19" t="n"/>
      <c r="B202" s="19" t="n"/>
      <c r="C202" s="19" t="n"/>
      <c r="D202" s="20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21" t="n"/>
      <c r="O202" s="19" t="n"/>
      <c r="P202" s="19" t="n"/>
      <c r="Q202" s="19" t="n"/>
      <c r="R202" s="19" t="n"/>
      <c r="S202" s="18">
        <f>IF(D202="","",INDEX(Guide!$B$18:$B$25,MATCH(D202,Guide!$A$18:$A$25,1)))</f>
        <v/>
      </c>
      <c r="T202" s="18">
        <f>IF(OR(C202="",P202="",Q202="",R202="",D202=""),"",ROUND(C202*Guide!$B$9+P202*Guide!$B$10+S202*Guide!$B$11+Q202*Guide!$B$12+(100-R202)*Guide!$B$13,1))</f>
        <v/>
      </c>
      <c r="U202" s="18">
        <f>IF(T202="","",IF(T202&gt;=Guide!$B$15,"PRIORITY","Low"))</f>
        <v/>
      </c>
    </row>
    <row r="203">
      <c r="A203" s="19" t="n"/>
      <c r="B203" s="19" t="n"/>
      <c r="C203" s="19" t="n"/>
      <c r="D203" s="20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21" t="n"/>
      <c r="O203" s="19" t="n"/>
      <c r="P203" s="19" t="n"/>
      <c r="Q203" s="19" t="n"/>
      <c r="R203" s="19" t="n"/>
      <c r="S203" s="18">
        <f>IF(D203="","",INDEX(Guide!$B$18:$B$25,MATCH(D203,Guide!$A$18:$A$25,1)))</f>
        <v/>
      </c>
      <c r="T203" s="18">
        <f>IF(OR(C203="",P203="",Q203="",R203="",D203=""),"",ROUND(C203*Guide!$B$9+P203*Guide!$B$10+S203*Guide!$B$11+Q203*Guide!$B$12+(100-R203)*Guide!$B$13,1))</f>
        <v/>
      </c>
      <c r="U203" s="18">
        <f>IF(T203="","",IF(T203&gt;=Guide!$B$15,"PRIORITY","Low"))</f>
        <v/>
      </c>
    </row>
    <row r="204">
      <c r="A204" s="19" t="n"/>
      <c r="B204" s="19" t="n"/>
      <c r="C204" s="19" t="n"/>
      <c r="D204" s="20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21" t="n"/>
      <c r="O204" s="19" t="n"/>
      <c r="P204" s="19" t="n"/>
      <c r="Q204" s="19" t="n"/>
      <c r="R204" s="19" t="n"/>
      <c r="S204" s="18">
        <f>IF(D204="","",INDEX(Guide!$B$18:$B$25,MATCH(D204,Guide!$A$18:$A$25,1)))</f>
        <v/>
      </c>
      <c r="T204" s="18">
        <f>IF(OR(C204="",P204="",Q204="",R204="",D204=""),"",ROUND(C204*Guide!$B$9+P204*Guide!$B$10+S204*Guide!$B$11+Q204*Guide!$B$12+(100-R204)*Guide!$B$13,1))</f>
        <v/>
      </c>
      <c r="U204" s="18">
        <f>IF(T204="","",IF(T204&gt;=Guide!$B$15,"PRIORITY","Low"))</f>
        <v/>
      </c>
    </row>
    <row r="205">
      <c r="A205" s="19" t="n"/>
      <c r="B205" s="19" t="n"/>
      <c r="C205" s="19" t="n"/>
      <c r="D205" s="20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21" t="n"/>
      <c r="O205" s="19" t="n"/>
      <c r="P205" s="19" t="n"/>
      <c r="Q205" s="19" t="n"/>
      <c r="R205" s="19" t="n"/>
      <c r="S205" s="18">
        <f>IF(D205="","",INDEX(Guide!$B$18:$B$25,MATCH(D205,Guide!$A$18:$A$25,1)))</f>
        <v/>
      </c>
      <c r="T205" s="18">
        <f>IF(OR(C205="",P205="",Q205="",R205="",D205=""),"",ROUND(C205*Guide!$B$9+P205*Guide!$B$10+S205*Guide!$B$11+Q205*Guide!$B$12+(100-R205)*Guide!$B$13,1))</f>
        <v/>
      </c>
      <c r="U205" s="18">
        <f>IF(T205="","",IF(T205&gt;=Guide!$B$15,"PRIORITY","Low"))</f>
        <v/>
      </c>
    </row>
    <row r="206">
      <c r="A206" s="19" t="n"/>
      <c r="B206" s="19" t="n"/>
      <c r="C206" s="19" t="n"/>
      <c r="D206" s="20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21" t="n"/>
      <c r="O206" s="19" t="n"/>
      <c r="P206" s="19" t="n"/>
      <c r="Q206" s="19" t="n"/>
      <c r="R206" s="19" t="n"/>
      <c r="S206" s="18">
        <f>IF(D206="","",INDEX(Guide!$B$18:$B$25,MATCH(D206,Guide!$A$18:$A$25,1)))</f>
        <v/>
      </c>
      <c r="T206" s="18">
        <f>IF(OR(C206="",P206="",Q206="",R206="",D206=""),"",ROUND(C206*Guide!$B$9+P206*Guide!$B$10+S206*Guide!$B$11+Q206*Guide!$B$12+(100-R206)*Guide!$B$13,1))</f>
        <v/>
      </c>
      <c r="U206" s="18">
        <f>IF(T206="","",IF(T206&gt;=Guide!$B$15,"PRIORITY","Low"))</f>
        <v/>
      </c>
    </row>
    <row r="207">
      <c r="A207" s="19" t="n"/>
      <c r="B207" s="19" t="n"/>
      <c r="C207" s="19" t="n"/>
      <c r="D207" s="20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21" t="n"/>
      <c r="O207" s="19" t="n"/>
      <c r="P207" s="19" t="n"/>
      <c r="Q207" s="19" t="n"/>
      <c r="R207" s="19" t="n"/>
      <c r="S207" s="18">
        <f>IF(D207="","",INDEX(Guide!$B$18:$B$25,MATCH(D207,Guide!$A$18:$A$25,1)))</f>
        <v/>
      </c>
      <c r="T207" s="18">
        <f>IF(OR(C207="",P207="",Q207="",R207="",D207=""),"",ROUND(C207*Guide!$B$9+P207*Guide!$B$10+S207*Guide!$B$11+Q207*Guide!$B$12+(100-R207)*Guide!$B$13,1))</f>
        <v/>
      </c>
      <c r="U207" s="18">
        <f>IF(T207="","",IF(T207&gt;=Guide!$B$15,"PRIORITY","Low"))</f>
        <v/>
      </c>
    </row>
    <row r="208">
      <c r="A208" s="19" t="n"/>
      <c r="B208" s="19" t="n"/>
      <c r="C208" s="19" t="n"/>
      <c r="D208" s="20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21" t="n"/>
      <c r="O208" s="19" t="n"/>
      <c r="P208" s="19" t="n"/>
      <c r="Q208" s="19" t="n"/>
      <c r="R208" s="19" t="n"/>
      <c r="S208" s="18">
        <f>IF(D208="","",INDEX(Guide!$B$18:$B$25,MATCH(D208,Guide!$A$18:$A$25,1)))</f>
        <v/>
      </c>
      <c r="T208" s="18">
        <f>IF(OR(C208="",P208="",Q208="",R208="",D208=""),"",ROUND(C208*Guide!$B$9+P208*Guide!$B$10+S208*Guide!$B$11+Q208*Guide!$B$12+(100-R208)*Guide!$B$13,1))</f>
        <v/>
      </c>
      <c r="U208" s="18">
        <f>IF(T208="","",IF(T208&gt;=Guide!$B$15,"PRIORITY","Low"))</f>
        <v/>
      </c>
    </row>
    <row r="209">
      <c r="A209" s="19" t="n"/>
      <c r="B209" s="19" t="n"/>
      <c r="C209" s="19" t="n"/>
      <c r="D209" s="20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21" t="n"/>
      <c r="O209" s="19" t="n"/>
      <c r="P209" s="19" t="n"/>
      <c r="Q209" s="19" t="n"/>
      <c r="R209" s="19" t="n"/>
      <c r="S209" s="18">
        <f>IF(D209="","",INDEX(Guide!$B$18:$B$25,MATCH(D209,Guide!$A$18:$A$25,1)))</f>
        <v/>
      </c>
      <c r="T209" s="18">
        <f>IF(OR(C209="",P209="",Q209="",R209="",D209=""),"",ROUND(C209*Guide!$B$9+P209*Guide!$B$10+S209*Guide!$B$11+Q209*Guide!$B$12+(100-R209)*Guide!$B$13,1))</f>
        <v/>
      </c>
      <c r="U209" s="18">
        <f>IF(T209="","",IF(T209&gt;=Guide!$B$15,"PRIORITY","Low"))</f>
        <v/>
      </c>
    </row>
    <row r="210">
      <c r="A210" s="19" t="n"/>
      <c r="B210" s="19" t="n"/>
      <c r="C210" s="19" t="n"/>
      <c r="D210" s="20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21" t="n"/>
      <c r="O210" s="19" t="n"/>
      <c r="P210" s="19" t="n"/>
      <c r="Q210" s="19" t="n"/>
      <c r="R210" s="19" t="n"/>
      <c r="S210" s="18">
        <f>IF(D210="","",INDEX(Guide!$B$18:$B$25,MATCH(D210,Guide!$A$18:$A$25,1)))</f>
        <v/>
      </c>
      <c r="T210" s="18">
        <f>IF(OR(C210="",P210="",Q210="",R210="",D210=""),"",ROUND(C210*Guide!$B$9+P210*Guide!$B$10+S210*Guide!$B$11+Q210*Guide!$B$12+(100-R210)*Guide!$B$13,1))</f>
        <v/>
      </c>
      <c r="U210" s="18">
        <f>IF(T210="","",IF(T210&gt;=Guide!$B$15,"PRIORITY","Low"))</f>
        <v/>
      </c>
    </row>
    <row r="211">
      <c r="A211" s="19" t="n"/>
      <c r="B211" s="19" t="n"/>
      <c r="C211" s="19" t="n"/>
      <c r="D211" s="20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21" t="n"/>
      <c r="O211" s="19" t="n"/>
      <c r="P211" s="19" t="n"/>
      <c r="Q211" s="19" t="n"/>
      <c r="R211" s="19" t="n"/>
      <c r="S211" s="18">
        <f>IF(D211="","",INDEX(Guide!$B$18:$B$25,MATCH(D211,Guide!$A$18:$A$25,1)))</f>
        <v/>
      </c>
      <c r="T211" s="18">
        <f>IF(OR(C211="",P211="",Q211="",R211="",D211=""),"",ROUND(C211*Guide!$B$9+P211*Guide!$B$10+S211*Guide!$B$11+Q211*Guide!$B$12+(100-R211)*Guide!$B$13,1))</f>
        <v/>
      </c>
      <c r="U211" s="18">
        <f>IF(T211="","",IF(T211&gt;=Guide!$B$15,"PRIORITY","Low"))</f>
        <v/>
      </c>
    </row>
    <row r="212">
      <c r="A212" s="19" t="n"/>
      <c r="B212" s="19" t="n"/>
      <c r="C212" s="19" t="n"/>
      <c r="D212" s="20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21" t="n"/>
      <c r="O212" s="19" t="n"/>
      <c r="P212" s="19" t="n"/>
      <c r="Q212" s="19" t="n"/>
      <c r="R212" s="19" t="n"/>
      <c r="S212" s="18">
        <f>IF(D212="","",INDEX(Guide!$B$18:$B$25,MATCH(D212,Guide!$A$18:$A$25,1)))</f>
        <v/>
      </c>
      <c r="T212" s="18">
        <f>IF(OR(C212="",P212="",Q212="",R212="",D212=""),"",ROUND(C212*Guide!$B$9+P212*Guide!$B$10+S212*Guide!$B$11+Q212*Guide!$B$12+(100-R212)*Guide!$B$13,1))</f>
        <v/>
      </c>
      <c r="U212" s="18">
        <f>IF(T212="","",IF(T212&gt;=Guide!$B$15,"PRIORITY","Low"))</f>
        <v/>
      </c>
    </row>
    <row r="213">
      <c r="A213" s="19" t="n"/>
      <c r="B213" s="19" t="n"/>
      <c r="C213" s="19" t="n"/>
      <c r="D213" s="20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21" t="n"/>
      <c r="O213" s="19" t="n"/>
      <c r="P213" s="19" t="n"/>
      <c r="Q213" s="19" t="n"/>
      <c r="R213" s="19" t="n"/>
      <c r="S213" s="18">
        <f>IF(D213="","",INDEX(Guide!$B$18:$B$25,MATCH(D213,Guide!$A$18:$A$25,1)))</f>
        <v/>
      </c>
      <c r="T213" s="18">
        <f>IF(OR(C213="",P213="",Q213="",R213="",D213=""),"",ROUND(C213*Guide!$B$9+P213*Guide!$B$10+S213*Guide!$B$11+Q213*Guide!$B$12+(100-R213)*Guide!$B$13,1))</f>
        <v/>
      </c>
      <c r="U213" s="18">
        <f>IF(T213="","",IF(T213&gt;=Guide!$B$15,"PRIORITY","Low"))</f>
        <v/>
      </c>
    </row>
    <row r="214">
      <c r="A214" s="19" t="n"/>
      <c r="B214" s="19" t="n"/>
      <c r="C214" s="19" t="n"/>
      <c r="D214" s="20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21" t="n"/>
      <c r="O214" s="19" t="n"/>
      <c r="P214" s="19" t="n"/>
      <c r="Q214" s="19" t="n"/>
      <c r="R214" s="19" t="n"/>
      <c r="S214" s="18">
        <f>IF(D214="","",INDEX(Guide!$B$18:$B$25,MATCH(D214,Guide!$A$18:$A$25,1)))</f>
        <v/>
      </c>
      <c r="T214" s="18">
        <f>IF(OR(C214="",P214="",Q214="",R214="",D214=""),"",ROUND(C214*Guide!$B$9+P214*Guide!$B$10+S214*Guide!$B$11+Q214*Guide!$B$12+(100-R214)*Guide!$B$13,1))</f>
        <v/>
      </c>
      <c r="U214" s="18">
        <f>IF(T214="","",IF(T214&gt;=Guide!$B$15,"PRIORITY","Low"))</f>
        <v/>
      </c>
    </row>
    <row r="215">
      <c r="A215" s="19" t="n"/>
      <c r="B215" s="19" t="n"/>
      <c r="C215" s="19" t="n"/>
      <c r="D215" s="20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21" t="n"/>
      <c r="O215" s="19" t="n"/>
      <c r="P215" s="19" t="n"/>
      <c r="Q215" s="19" t="n"/>
      <c r="R215" s="19" t="n"/>
      <c r="S215" s="18">
        <f>IF(D215="","",INDEX(Guide!$B$18:$B$25,MATCH(D215,Guide!$A$18:$A$25,1)))</f>
        <v/>
      </c>
      <c r="T215" s="18">
        <f>IF(OR(C215="",P215="",Q215="",R215="",D215=""),"",ROUND(C215*Guide!$B$9+P215*Guide!$B$10+S215*Guide!$B$11+Q215*Guide!$B$12+(100-R215)*Guide!$B$13,1))</f>
        <v/>
      </c>
      <c r="U215" s="18">
        <f>IF(T215="","",IF(T215&gt;=Guide!$B$15,"PRIORITY","Low"))</f>
        <v/>
      </c>
    </row>
    <row r="216">
      <c r="A216" s="19" t="n"/>
      <c r="B216" s="19" t="n"/>
      <c r="C216" s="19" t="n"/>
      <c r="D216" s="20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21" t="n"/>
      <c r="O216" s="19" t="n"/>
      <c r="P216" s="19" t="n"/>
      <c r="Q216" s="19" t="n"/>
      <c r="R216" s="19" t="n"/>
      <c r="S216" s="18">
        <f>IF(D216="","",INDEX(Guide!$B$18:$B$25,MATCH(D216,Guide!$A$18:$A$25,1)))</f>
        <v/>
      </c>
      <c r="T216" s="18">
        <f>IF(OR(C216="",P216="",Q216="",R216="",D216=""),"",ROUND(C216*Guide!$B$9+P216*Guide!$B$10+S216*Guide!$B$11+Q216*Guide!$B$12+(100-R216)*Guide!$B$13,1))</f>
        <v/>
      </c>
      <c r="U216" s="18">
        <f>IF(T216="","",IF(T216&gt;=Guide!$B$15,"PRIORITY","Low"))</f>
        <v/>
      </c>
    </row>
    <row r="217">
      <c r="A217" s="19" t="n"/>
      <c r="B217" s="19" t="n"/>
      <c r="C217" s="19" t="n"/>
      <c r="D217" s="20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21" t="n"/>
      <c r="O217" s="19" t="n"/>
      <c r="P217" s="19" t="n"/>
      <c r="Q217" s="19" t="n"/>
      <c r="R217" s="19" t="n"/>
      <c r="S217" s="18">
        <f>IF(D217="","",INDEX(Guide!$B$18:$B$25,MATCH(D217,Guide!$A$18:$A$25,1)))</f>
        <v/>
      </c>
      <c r="T217" s="18">
        <f>IF(OR(C217="",P217="",Q217="",R217="",D217=""),"",ROUND(C217*Guide!$B$9+P217*Guide!$B$10+S217*Guide!$B$11+Q217*Guide!$B$12+(100-R217)*Guide!$B$13,1))</f>
        <v/>
      </c>
      <c r="U217" s="18">
        <f>IF(T217="","",IF(T217&gt;=Guide!$B$15,"PRIORITY","Low"))</f>
        <v/>
      </c>
    </row>
    <row r="218">
      <c r="A218" s="19" t="n"/>
      <c r="B218" s="19" t="n"/>
      <c r="C218" s="19" t="n"/>
      <c r="D218" s="20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21" t="n"/>
      <c r="O218" s="19" t="n"/>
      <c r="P218" s="19" t="n"/>
      <c r="Q218" s="19" t="n"/>
      <c r="R218" s="19" t="n"/>
      <c r="S218" s="18">
        <f>IF(D218="","",INDEX(Guide!$B$18:$B$25,MATCH(D218,Guide!$A$18:$A$25,1)))</f>
        <v/>
      </c>
      <c r="T218" s="18">
        <f>IF(OR(C218="",P218="",Q218="",R218="",D218=""),"",ROUND(C218*Guide!$B$9+P218*Guide!$B$10+S218*Guide!$B$11+Q218*Guide!$B$12+(100-R218)*Guide!$B$13,1))</f>
        <v/>
      </c>
      <c r="U218" s="18">
        <f>IF(T218="","",IF(T218&gt;=Guide!$B$15,"PRIORITY","Low"))</f>
        <v/>
      </c>
    </row>
    <row r="219">
      <c r="A219" s="19" t="n"/>
      <c r="B219" s="19" t="n"/>
      <c r="C219" s="19" t="n"/>
      <c r="D219" s="20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21" t="n"/>
      <c r="O219" s="19" t="n"/>
      <c r="P219" s="19" t="n"/>
      <c r="Q219" s="19" t="n"/>
      <c r="R219" s="19" t="n"/>
      <c r="S219" s="18">
        <f>IF(D219="","",INDEX(Guide!$B$18:$B$25,MATCH(D219,Guide!$A$18:$A$25,1)))</f>
        <v/>
      </c>
      <c r="T219" s="18">
        <f>IF(OR(C219="",P219="",Q219="",R219="",D219=""),"",ROUND(C219*Guide!$B$9+P219*Guide!$B$10+S219*Guide!$B$11+Q219*Guide!$B$12+(100-R219)*Guide!$B$13,1))</f>
        <v/>
      </c>
      <c r="U219" s="18">
        <f>IF(T219="","",IF(T219&gt;=Guide!$B$15,"PRIORITY","Low"))</f>
        <v/>
      </c>
    </row>
    <row r="220">
      <c r="A220" s="19" t="n"/>
      <c r="B220" s="19" t="n"/>
      <c r="C220" s="19" t="n"/>
      <c r="D220" s="20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21" t="n"/>
      <c r="O220" s="19" t="n"/>
      <c r="P220" s="19" t="n"/>
      <c r="Q220" s="19" t="n"/>
      <c r="R220" s="19" t="n"/>
      <c r="S220" s="18">
        <f>IF(D220="","",INDEX(Guide!$B$18:$B$25,MATCH(D220,Guide!$A$18:$A$25,1)))</f>
        <v/>
      </c>
      <c r="T220" s="18">
        <f>IF(OR(C220="",P220="",Q220="",R220="",D220=""),"",ROUND(C220*Guide!$B$9+P220*Guide!$B$10+S220*Guide!$B$11+Q220*Guide!$B$12+(100-R220)*Guide!$B$13,1))</f>
        <v/>
      </c>
      <c r="U220" s="18">
        <f>IF(T220="","",IF(T220&gt;=Guide!$B$15,"PRIORITY","Low"))</f>
        <v/>
      </c>
    </row>
    <row r="221">
      <c r="A221" s="19" t="n"/>
      <c r="B221" s="19" t="n"/>
      <c r="C221" s="19" t="n"/>
      <c r="D221" s="20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21" t="n"/>
      <c r="O221" s="19" t="n"/>
      <c r="P221" s="19" t="n"/>
      <c r="Q221" s="19" t="n"/>
      <c r="R221" s="19" t="n"/>
      <c r="S221" s="18">
        <f>IF(D221="","",INDEX(Guide!$B$18:$B$25,MATCH(D221,Guide!$A$18:$A$25,1)))</f>
        <v/>
      </c>
      <c r="T221" s="18">
        <f>IF(OR(C221="",P221="",Q221="",R221="",D221=""),"",ROUND(C221*Guide!$B$9+P221*Guide!$B$10+S221*Guide!$B$11+Q221*Guide!$B$12+(100-R221)*Guide!$B$13,1))</f>
        <v/>
      </c>
      <c r="U221" s="18">
        <f>IF(T221="","",IF(T221&gt;=Guide!$B$15,"PRIORITY","Low"))</f>
        <v/>
      </c>
    </row>
    <row r="222">
      <c r="A222" s="19" t="n"/>
      <c r="B222" s="19" t="n"/>
      <c r="C222" s="19" t="n"/>
      <c r="D222" s="20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21" t="n"/>
      <c r="O222" s="19" t="n"/>
      <c r="P222" s="19" t="n"/>
      <c r="Q222" s="19" t="n"/>
      <c r="R222" s="19" t="n"/>
      <c r="S222" s="18">
        <f>IF(D222="","",INDEX(Guide!$B$18:$B$25,MATCH(D222,Guide!$A$18:$A$25,1)))</f>
        <v/>
      </c>
      <c r="T222" s="18">
        <f>IF(OR(C222="",P222="",Q222="",R222="",D222=""),"",ROUND(C222*Guide!$B$9+P222*Guide!$B$10+S222*Guide!$B$11+Q222*Guide!$B$12+(100-R222)*Guide!$B$13,1))</f>
        <v/>
      </c>
      <c r="U222" s="18">
        <f>IF(T222="","",IF(T222&gt;=Guide!$B$15,"PRIORITY","Low"))</f>
        <v/>
      </c>
    </row>
    <row r="223">
      <c r="A223" s="19" t="n"/>
      <c r="B223" s="19" t="n"/>
      <c r="C223" s="19" t="n"/>
      <c r="D223" s="20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21" t="n"/>
      <c r="O223" s="19" t="n"/>
      <c r="P223" s="19" t="n"/>
      <c r="Q223" s="19" t="n"/>
      <c r="R223" s="19" t="n"/>
      <c r="S223" s="18">
        <f>IF(D223="","",INDEX(Guide!$B$18:$B$25,MATCH(D223,Guide!$A$18:$A$25,1)))</f>
        <v/>
      </c>
      <c r="T223" s="18">
        <f>IF(OR(C223="",P223="",Q223="",R223="",D223=""),"",ROUND(C223*Guide!$B$9+P223*Guide!$B$10+S223*Guide!$B$11+Q223*Guide!$B$12+(100-R223)*Guide!$B$13,1))</f>
        <v/>
      </c>
      <c r="U223" s="18">
        <f>IF(T223="","",IF(T223&gt;=Guide!$B$15,"PRIORITY","Low"))</f>
        <v/>
      </c>
    </row>
    <row r="224">
      <c r="A224" s="19" t="n"/>
      <c r="B224" s="19" t="n"/>
      <c r="C224" s="19" t="n"/>
      <c r="D224" s="20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21" t="n"/>
      <c r="O224" s="19" t="n"/>
      <c r="P224" s="19" t="n"/>
      <c r="Q224" s="19" t="n"/>
      <c r="R224" s="19" t="n"/>
      <c r="S224" s="18">
        <f>IF(D224="","",INDEX(Guide!$B$18:$B$25,MATCH(D224,Guide!$A$18:$A$25,1)))</f>
        <v/>
      </c>
      <c r="T224" s="18">
        <f>IF(OR(C224="",P224="",Q224="",R224="",D224=""),"",ROUND(C224*Guide!$B$9+P224*Guide!$B$10+S224*Guide!$B$11+Q224*Guide!$B$12+(100-R224)*Guide!$B$13,1))</f>
        <v/>
      </c>
      <c r="U224" s="18">
        <f>IF(T224="","",IF(T224&gt;=Guide!$B$15,"PRIORITY","Low"))</f>
        <v/>
      </c>
    </row>
    <row r="225">
      <c r="A225" s="19" t="n"/>
      <c r="B225" s="19" t="n"/>
      <c r="C225" s="19" t="n"/>
      <c r="D225" s="20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21" t="n"/>
      <c r="O225" s="19" t="n"/>
      <c r="P225" s="19" t="n"/>
      <c r="Q225" s="19" t="n"/>
      <c r="R225" s="19" t="n"/>
      <c r="S225" s="18">
        <f>IF(D225="","",INDEX(Guide!$B$18:$B$25,MATCH(D225,Guide!$A$18:$A$25,1)))</f>
        <v/>
      </c>
      <c r="T225" s="18">
        <f>IF(OR(C225="",P225="",Q225="",R225="",D225=""),"",ROUND(C225*Guide!$B$9+P225*Guide!$B$10+S225*Guide!$B$11+Q225*Guide!$B$12+(100-R225)*Guide!$B$13,1))</f>
        <v/>
      </c>
      <c r="U225" s="18">
        <f>IF(T225="","",IF(T225&gt;=Guide!$B$15,"PRIORITY","Low"))</f>
        <v/>
      </c>
    </row>
    <row r="226">
      <c r="A226" s="19" t="n"/>
      <c r="B226" s="19" t="n"/>
      <c r="C226" s="19" t="n"/>
      <c r="D226" s="20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21" t="n"/>
      <c r="O226" s="19" t="n"/>
      <c r="P226" s="19" t="n"/>
      <c r="Q226" s="19" t="n"/>
      <c r="R226" s="19" t="n"/>
      <c r="S226" s="18">
        <f>IF(D226="","",INDEX(Guide!$B$18:$B$25,MATCH(D226,Guide!$A$18:$A$25,1)))</f>
        <v/>
      </c>
      <c r="T226" s="18">
        <f>IF(OR(C226="",P226="",Q226="",R226="",D226=""),"",ROUND(C226*Guide!$B$9+P226*Guide!$B$10+S226*Guide!$B$11+Q226*Guide!$B$12+(100-R226)*Guide!$B$13,1))</f>
        <v/>
      </c>
      <c r="U226" s="18">
        <f>IF(T226="","",IF(T226&gt;=Guide!$B$15,"PRIORITY","Low"))</f>
        <v/>
      </c>
    </row>
    <row r="227">
      <c r="A227" s="19" t="n"/>
      <c r="B227" s="19" t="n"/>
      <c r="C227" s="19" t="n"/>
      <c r="D227" s="20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21" t="n"/>
      <c r="O227" s="19" t="n"/>
      <c r="P227" s="19" t="n"/>
      <c r="Q227" s="19" t="n"/>
      <c r="R227" s="19" t="n"/>
      <c r="S227" s="18">
        <f>IF(D227="","",INDEX(Guide!$B$18:$B$25,MATCH(D227,Guide!$A$18:$A$25,1)))</f>
        <v/>
      </c>
      <c r="T227" s="18">
        <f>IF(OR(C227="",P227="",Q227="",R227="",D227=""),"",ROUND(C227*Guide!$B$9+P227*Guide!$B$10+S227*Guide!$B$11+Q227*Guide!$B$12+(100-R227)*Guide!$B$13,1))</f>
        <v/>
      </c>
      <c r="U227" s="18">
        <f>IF(T227="","",IF(T227&gt;=Guide!$B$15,"PRIORITY","Low"))</f>
        <v/>
      </c>
    </row>
    <row r="228">
      <c r="A228" s="19" t="n"/>
      <c r="B228" s="19" t="n"/>
      <c r="C228" s="19" t="n"/>
      <c r="D228" s="20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21" t="n"/>
      <c r="O228" s="19" t="n"/>
      <c r="P228" s="19" t="n"/>
      <c r="Q228" s="19" t="n"/>
      <c r="R228" s="19" t="n"/>
      <c r="S228" s="18">
        <f>IF(D228="","",INDEX(Guide!$B$18:$B$25,MATCH(D228,Guide!$A$18:$A$25,1)))</f>
        <v/>
      </c>
      <c r="T228" s="18">
        <f>IF(OR(C228="",P228="",Q228="",R228="",D228=""),"",ROUND(C228*Guide!$B$9+P228*Guide!$B$10+S228*Guide!$B$11+Q228*Guide!$B$12+(100-R228)*Guide!$B$13,1))</f>
        <v/>
      </c>
      <c r="U228" s="18">
        <f>IF(T228="","",IF(T228&gt;=Guide!$B$15,"PRIORITY","Low"))</f>
        <v/>
      </c>
    </row>
    <row r="229">
      <c r="A229" s="19" t="n"/>
      <c r="B229" s="19" t="n"/>
      <c r="C229" s="19" t="n"/>
      <c r="D229" s="20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21" t="n"/>
      <c r="O229" s="19" t="n"/>
      <c r="P229" s="19" t="n"/>
      <c r="Q229" s="19" t="n"/>
      <c r="R229" s="19" t="n"/>
      <c r="S229" s="18">
        <f>IF(D229="","",INDEX(Guide!$B$18:$B$25,MATCH(D229,Guide!$A$18:$A$25,1)))</f>
        <v/>
      </c>
      <c r="T229" s="18">
        <f>IF(OR(C229="",P229="",Q229="",R229="",D229=""),"",ROUND(C229*Guide!$B$9+P229*Guide!$B$10+S229*Guide!$B$11+Q229*Guide!$B$12+(100-R229)*Guide!$B$13,1))</f>
        <v/>
      </c>
      <c r="U229" s="18">
        <f>IF(T229="","",IF(T229&gt;=Guide!$B$15,"PRIORITY","Low"))</f>
        <v/>
      </c>
    </row>
    <row r="230">
      <c r="A230" s="19" t="n"/>
      <c r="B230" s="19" t="n"/>
      <c r="C230" s="19" t="n"/>
      <c r="D230" s="20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21" t="n"/>
      <c r="O230" s="19" t="n"/>
      <c r="P230" s="19" t="n"/>
      <c r="Q230" s="19" t="n"/>
      <c r="R230" s="19" t="n"/>
      <c r="S230" s="18">
        <f>IF(D230="","",INDEX(Guide!$B$18:$B$25,MATCH(D230,Guide!$A$18:$A$25,1)))</f>
        <v/>
      </c>
      <c r="T230" s="18">
        <f>IF(OR(C230="",P230="",Q230="",R230="",D230=""),"",ROUND(C230*Guide!$B$9+P230*Guide!$B$10+S230*Guide!$B$11+Q230*Guide!$B$12+(100-R230)*Guide!$B$13,1))</f>
        <v/>
      </c>
      <c r="U230" s="18">
        <f>IF(T230="","",IF(T230&gt;=Guide!$B$15,"PRIORITY","Low"))</f>
        <v/>
      </c>
    </row>
    <row r="231">
      <c r="A231" s="19" t="n"/>
      <c r="B231" s="19" t="n"/>
      <c r="C231" s="19" t="n"/>
      <c r="D231" s="20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21" t="n"/>
      <c r="O231" s="19" t="n"/>
      <c r="P231" s="19" t="n"/>
      <c r="Q231" s="19" t="n"/>
      <c r="R231" s="19" t="n"/>
      <c r="S231" s="18">
        <f>IF(D231="","",INDEX(Guide!$B$18:$B$25,MATCH(D231,Guide!$A$18:$A$25,1)))</f>
        <v/>
      </c>
      <c r="T231" s="18">
        <f>IF(OR(C231="",P231="",Q231="",R231="",D231=""),"",ROUND(C231*Guide!$B$9+P231*Guide!$B$10+S231*Guide!$B$11+Q231*Guide!$B$12+(100-R231)*Guide!$B$13,1))</f>
        <v/>
      </c>
      <c r="U231" s="18">
        <f>IF(T231="","",IF(T231&gt;=Guide!$B$15,"PRIORITY","Low"))</f>
        <v/>
      </c>
    </row>
    <row r="232">
      <c r="A232" s="19" t="n"/>
      <c r="B232" s="19" t="n"/>
      <c r="C232" s="19" t="n"/>
      <c r="D232" s="20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21" t="n"/>
      <c r="O232" s="19" t="n"/>
      <c r="P232" s="19" t="n"/>
      <c r="Q232" s="19" t="n"/>
      <c r="R232" s="19" t="n"/>
      <c r="S232" s="18">
        <f>IF(D232="","",INDEX(Guide!$B$18:$B$25,MATCH(D232,Guide!$A$18:$A$25,1)))</f>
        <v/>
      </c>
      <c r="T232" s="18">
        <f>IF(OR(C232="",P232="",Q232="",R232="",D232=""),"",ROUND(C232*Guide!$B$9+P232*Guide!$B$10+S232*Guide!$B$11+Q232*Guide!$B$12+(100-R232)*Guide!$B$13,1))</f>
        <v/>
      </c>
      <c r="U232" s="18">
        <f>IF(T232="","",IF(T232&gt;=Guide!$B$15,"PRIORITY","Low"))</f>
        <v/>
      </c>
    </row>
    <row r="233">
      <c r="A233" s="19" t="n"/>
      <c r="B233" s="19" t="n"/>
      <c r="C233" s="19" t="n"/>
      <c r="D233" s="20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21" t="n"/>
      <c r="O233" s="19" t="n"/>
      <c r="P233" s="19" t="n"/>
      <c r="Q233" s="19" t="n"/>
      <c r="R233" s="19" t="n"/>
      <c r="S233" s="18">
        <f>IF(D233="","",INDEX(Guide!$B$18:$B$25,MATCH(D233,Guide!$A$18:$A$25,1)))</f>
        <v/>
      </c>
      <c r="T233" s="18">
        <f>IF(OR(C233="",P233="",Q233="",R233="",D233=""),"",ROUND(C233*Guide!$B$9+P233*Guide!$B$10+S233*Guide!$B$11+Q233*Guide!$B$12+(100-R233)*Guide!$B$13,1))</f>
        <v/>
      </c>
      <c r="U233" s="18">
        <f>IF(T233="","",IF(T233&gt;=Guide!$B$15,"PRIORITY","Low"))</f>
        <v/>
      </c>
    </row>
    <row r="234">
      <c r="A234" s="19" t="n"/>
      <c r="B234" s="19" t="n"/>
      <c r="C234" s="19" t="n"/>
      <c r="D234" s="20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21" t="n"/>
      <c r="O234" s="19" t="n"/>
      <c r="P234" s="19" t="n"/>
      <c r="Q234" s="19" t="n"/>
      <c r="R234" s="19" t="n"/>
      <c r="S234" s="18">
        <f>IF(D234="","",INDEX(Guide!$B$18:$B$25,MATCH(D234,Guide!$A$18:$A$25,1)))</f>
        <v/>
      </c>
      <c r="T234" s="18">
        <f>IF(OR(C234="",P234="",Q234="",R234="",D234=""),"",ROUND(C234*Guide!$B$9+P234*Guide!$B$10+S234*Guide!$B$11+Q234*Guide!$B$12+(100-R234)*Guide!$B$13,1))</f>
        <v/>
      </c>
      <c r="U234" s="18">
        <f>IF(T234="","",IF(T234&gt;=Guide!$B$15,"PRIORITY","Low"))</f>
        <v/>
      </c>
    </row>
    <row r="235">
      <c r="A235" s="19" t="n"/>
      <c r="B235" s="19" t="n"/>
      <c r="C235" s="19" t="n"/>
      <c r="D235" s="20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21" t="n"/>
      <c r="O235" s="19" t="n"/>
      <c r="P235" s="19" t="n"/>
      <c r="Q235" s="19" t="n"/>
      <c r="R235" s="19" t="n"/>
      <c r="S235" s="18">
        <f>IF(D235="","",INDEX(Guide!$B$18:$B$25,MATCH(D235,Guide!$A$18:$A$25,1)))</f>
        <v/>
      </c>
      <c r="T235" s="18">
        <f>IF(OR(C235="",P235="",Q235="",R235="",D235=""),"",ROUND(C235*Guide!$B$9+P235*Guide!$B$10+S235*Guide!$B$11+Q235*Guide!$B$12+(100-R235)*Guide!$B$13,1))</f>
        <v/>
      </c>
      <c r="U235" s="18">
        <f>IF(T235="","",IF(T235&gt;=Guide!$B$15,"PRIORITY","Low"))</f>
        <v/>
      </c>
    </row>
    <row r="236">
      <c r="A236" s="19" t="n"/>
      <c r="B236" s="19" t="n"/>
      <c r="C236" s="19" t="n"/>
      <c r="D236" s="20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21" t="n"/>
      <c r="O236" s="19" t="n"/>
      <c r="P236" s="19" t="n"/>
      <c r="Q236" s="19" t="n"/>
      <c r="R236" s="19" t="n"/>
      <c r="S236" s="18">
        <f>IF(D236="","",INDEX(Guide!$B$18:$B$25,MATCH(D236,Guide!$A$18:$A$25,1)))</f>
        <v/>
      </c>
      <c r="T236" s="18">
        <f>IF(OR(C236="",P236="",Q236="",R236="",D236=""),"",ROUND(C236*Guide!$B$9+P236*Guide!$B$10+S236*Guide!$B$11+Q236*Guide!$B$12+(100-R236)*Guide!$B$13,1))</f>
        <v/>
      </c>
      <c r="U236" s="18">
        <f>IF(T236="","",IF(T236&gt;=Guide!$B$15,"PRIORITY","Low"))</f>
        <v/>
      </c>
    </row>
    <row r="237">
      <c r="A237" s="19" t="n"/>
      <c r="B237" s="19" t="n"/>
      <c r="C237" s="19" t="n"/>
      <c r="D237" s="20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21" t="n"/>
      <c r="O237" s="19" t="n"/>
      <c r="P237" s="19" t="n"/>
      <c r="Q237" s="19" t="n"/>
      <c r="R237" s="19" t="n"/>
      <c r="S237" s="18">
        <f>IF(D237="","",INDEX(Guide!$B$18:$B$25,MATCH(D237,Guide!$A$18:$A$25,1)))</f>
        <v/>
      </c>
      <c r="T237" s="18">
        <f>IF(OR(C237="",P237="",Q237="",R237="",D237=""),"",ROUND(C237*Guide!$B$9+P237*Guide!$B$10+S237*Guide!$B$11+Q237*Guide!$B$12+(100-R237)*Guide!$B$13,1))</f>
        <v/>
      </c>
      <c r="U237" s="18">
        <f>IF(T237="","",IF(T237&gt;=Guide!$B$15,"PRIORITY","Low"))</f>
        <v/>
      </c>
    </row>
    <row r="238">
      <c r="A238" s="19" t="n"/>
      <c r="B238" s="19" t="n"/>
      <c r="C238" s="19" t="n"/>
      <c r="D238" s="20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21" t="n"/>
      <c r="O238" s="19" t="n"/>
      <c r="P238" s="19" t="n"/>
      <c r="Q238" s="19" t="n"/>
      <c r="R238" s="19" t="n"/>
      <c r="S238" s="18">
        <f>IF(D238="","",INDEX(Guide!$B$18:$B$25,MATCH(D238,Guide!$A$18:$A$25,1)))</f>
        <v/>
      </c>
      <c r="T238" s="18">
        <f>IF(OR(C238="",P238="",Q238="",R238="",D238=""),"",ROUND(C238*Guide!$B$9+P238*Guide!$B$10+S238*Guide!$B$11+Q238*Guide!$B$12+(100-R238)*Guide!$B$13,1))</f>
        <v/>
      </c>
      <c r="U238" s="18">
        <f>IF(T238="","",IF(T238&gt;=Guide!$B$15,"PRIORITY","Low"))</f>
        <v/>
      </c>
    </row>
    <row r="239">
      <c r="A239" s="19" t="n"/>
      <c r="B239" s="19" t="n"/>
      <c r="C239" s="19" t="n"/>
      <c r="D239" s="20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21" t="n"/>
      <c r="O239" s="19" t="n"/>
      <c r="P239" s="19" t="n"/>
      <c r="Q239" s="19" t="n"/>
      <c r="R239" s="19" t="n"/>
      <c r="S239" s="18">
        <f>IF(D239="","",INDEX(Guide!$B$18:$B$25,MATCH(D239,Guide!$A$18:$A$25,1)))</f>
        <v/>
      </c>
      <c r="T239" s="18">
        <f>IF(OR(C239="",P239="",Q239="",R239="",D239=""),"",ROUND(C239*Guide!$B$9+P239*Guide!$B$10+S239*Guide!$B$11+Q239*Guide!$B$12+(100-R239)*Guide!$B$13,1))</f>
        <v/>
      </c>
      <c r="U239" s="18">
        <f>IF(T239="","",IF(T239&gt;=Guide!$B$15,"PRIORITY","Low"))</f>
        <v/>
      </c>
    </row>
    <row r="240">
      <c r="A240" s="19" t="n"/>
      <c r="B240" s="19" t="n"/>
      <c r="C240" s="19" t="n"/>
      <c r="D240" s="20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21" t="n"/>
      <c r="O240" s="19" t="n"/>
      <c r="P240" s="19" t="n"/>
      <c r="Q240" s="19" t="n"/>
      <c r="R240" s="19" t="n"/>
      <c r="S240" s="18">
        <f>IF(D240="","",INDEX(Guide!$B$18:$B$25,MATCH(D240,Guide!$A$18:$A$25,1)))</f>
        <v/>
      </c>
      <c r="T240" s="18">
        <f>IF(OR(C240="",P240="",Q240="",R240="",D240=""),"",ROUND(C240*Guide!$B$9+P240*Guide!$B$10+S240*Guide!$B$11+Q240*Guide!$B$12+(100-R240)*Guide!$B$13,1))</f>
        <v/>
      </c>
      <c r="U240" s="18">
        <f>IF(T240="","",IF(T240&gt;=Guide!$B$15,"PRIORITY","Low"))</f>
        <v/>
      </c>
    </row>
    <row r="241">
      <c r="A241" s="19" t="n"/>
      <c r="B241" s="19" t="n"/>
      <c r="C241" s="19" t="n"/>
      <c r="D241" s="20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21" t="n"/>
      <c r="O241" s="19" t="n"/>
      <c r="P241" s="19" t="n"/>
      <c r="Q241" s="19" t="n"/>
      <c r="R241" s="19" t="n"/>
      <c r="S241" s="18">
        <f>IF(D241="","",INDEX(Guide!$B$18:$B$25,MATCH(D241,Guide!$A$18:$A$25,1)))</f>
        <v/>
      </c>
      <c r="T241" s="18">
        <f>IF(OR(C241="",P241="",Q241="",R241="",D241=""),"",ROUND(C241*Guide!$B$9+P241*Guide!$B$10+S241*Guide!$B$11+Q241*Guide!$B$12+(100-R241)*Guide!$B$13,1))</f>
        <v/>
      </c>
      <c r="U241" s="18">
        <f>IF(T241="","",IF(T241&gt;=Guide!$B$15,"PRIORITY","Low"))</f>
        <v/>
      </c>
    </row>
    <row r="242">
      <c r="A242" s="19" t="n"/>
      <c r="B242" s="19" t="n"/>
      <c r="C242" s="19" t="n"/>
      <c r="D242" s="20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21" t="n"/>
      <c r="O242" s="19" t="n"/>
      <c r="P242" s="19" t="n"/>
      <c r="Q242" s="19" t="n"/>
      <c r="R242" s="19" t="n"/>
      <c r="S242" s="18">
        <f>IF(D242="","",INDEX(Guide!$B$18:$B$25,MATCH(D242,Guide!$A$18:$A$25,1)))</f>
        <v/>
      </c>
      <c r="T242" s="18">
        <f>IF(OR(C242="",P242="",Q242="",R242="",D242=""),"",ROUND(C242*Guide!$B$9+P242*Guide!$B$10+S242*Guide!$B$11+Q242*Guide!$B$12+(100-R242)*Guide!$B$13,1))</f>
        <v/>
      </c>
      <c r="U242" s="18">
        <f>IF(T242="","",IF(T242&gt;=Guide!$B$15,"PRIORITY","Low"))</f>
        <v/>
      </c>
    </row>
    <row r="243">
      <c r="A243" s="19" t="n"/>
      <c r="B243" s="19" t="n"/>
      <c r="C243" s="19" t="n"/>
      <c r="D243" s="20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21" t="n"/>
      <c r="O243" s="19" t="n"/>
      <c r="P243" s="19" t="n"/>
      <c r="Q243" s="19" t="n"/>
      <c r="R243" s="19" t="n"/>
      <c r="S243" s="18">
        <f>IF(D243="","",INDEX(Guide!$B$18:$B$25,MATCH(D243,Guide!$A$18:$A$25,1)))</f>
        <v/>
      </c>
      <c r="T243" s="18">
        <f>IF(OR(C243="",P243="",Q243="",R243="",D243=""),"",ROUND(C243*Guide!$B$9+P243*Guide!$B$10+S243*Guide!$B$11+Q243*Guide!$B$12+(100-R243)*Guide!$B$13,1))</f>
        <v/>
      </c>
      <c r="U243" s="18">
        <f>IF(T243="","",IF(T243&gt;=Guide!$B$15,"PRIORITY","Low"))</f>
        <v/>
      </c>
    </row>
    <row r="244">
      <c r="A244" s="19" t="n"/>
      <c r="B244" s="19" t="n"/>
      <c r="C244" s="19" t="n"/>
      <c r="D244" s="20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21" t="n"/>
      <c r="O244" s="19" t="n"/>
      <c r="P244" s="19" t="n"/>
      <c r="Q244" s="19" t="n"/>
      <c r="R244" s="19" t="n"/>
      <c r="S244" s="18">
        <f>IF(D244="","",INDEX(Guide!$B$18:$B$25,MATCH(D244,Guide!$A$18:$A$25,1)))</f>
        <v/>
      </c>
      <c r="T244" s="18">
        <f>IF(OR(C244="",P244="",Q244="",R244="",D244=""),"",ROUND(C244*Guide!$B$9+P244*Guide!$B$10+S244*Guide!$B$11+Q244*Guide!$B$12+(100-R244)*Guide!$B$13,1))</f>
        <v/>
      </c>
      <c r="U244" s="18">
        <f>IF(T244="","",IF(T244&gt;=Guide!$B$15,"PRIORITY","Low"))</f>
        <v/>
      </c>
    </row>
    <row r="245">
      <c r="A245" s="19" t="n"/>
      <c r="B245" s="19" t="n"/>
      <c r="C245" s="19" t="n"/>
      <c r="D245" s="20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21" t="n"/>
      <c r="O245" s="19" t="n"/>
      <c r="P245" s="19" t="n"/>
      <c r="Q245" s="19" t="n"/>
      <c r="R245" s="19" t="n"/>
      <c r="S245" s="18">
        <f>IF(D245="","",INDEX(Guide!$B$18:$B$25,MATCH(D245,Guide!$A$18:$A$25,1)))</f>
        <v/>
      </c>
      <c r="T245" s="18">
        <f>IF(OR(C245="",P245="",Q245="",R245="",D245=""),"",ROUND(C245*Guide!$B$9+P245*Guide!$B$10+S245*Guide!$B$11+Q245*Guide!$B$12+(100-R245)*Guide!$B$13,1))</f>
        <v/>
      </c>
      <c r="U245" s="18">
        <f>IF(T245="","",IF(T245&gt;=Guide!$B$15,"PRIORITY","Low"))</f>
        <v/>
      </c>
    </row>
    <row r="246">
      <c r="A246" s="19" t="n"/>
      <c r="B246" s="19" t="n"/>
      <c r="C246" s="19" t="n"/>
      <c r="D246" s="20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21" t="n"/>
      <c r="O246" s="19" t="n"/>
      <c r="P246" s="19" t="n"/>
      <c r="Q246" s="19" t="n"/>
      <c r="R246" s="19" t="n"/>
      <c r="S246" s="18">
        <f>IF(D246="","",INDEX(Guide!$B$18:$B$25,MATCH(D246,Guide!$A$18:$A$25,1)))</f>
        <v/>
      </c>
      <c r="T246" s="18">
        <f>IF(OR(C246="",P246="",Q246="",R246="",D246=""),"",ROUND(C246*Guide!$B$9+P246*Guide!$B$10+S246*Guide!$B$11+Q246*Guide!$B$12+(100-R246)*Guide!$B$13,1))</f>
        <v/>
      </c>
      <c r="U246" s="18">
        <f>IF(T246="","",IF(T246&gt;=Guide!$B$15,"PRIORITY","Low"))</f>
        <v/>
      </c>
    </row>
    <row r="247">
      <c r="A247" s="19" t="n"/>
      <c r="B247" s="19" t="n"/>
      <c r="C247" s="19" t="n"/>
      <c r="D247" s="20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21" t="n"/>
      <c r="O247" s="19" t="n"/>
      <c r="P247" s="19" t="n"/>
      <c r="Q247" s="19" t="n"/>
      <c r="R247" s="19" t="n"/>
      <c r="S247" s="18">
        <f>IF(D247="","",INDEX(Guide!$B$18:$B$25,MATCH(D247,Guide!$A$18:$A$25,1)))</f>
        <v/>
      </c>
      <c r="T247" s="18">
        <f>IF(OR(C247="",P247="",Q247="",R247="",D247=""),"",ROUND(C247*Guide!$B$9+P247*Guide!$B$10+S247*Guide!$B$11+Q247*Guide!$B$12+(100-R247)*Guide!$B$13,1))</f>
        <v/>
      </c>
      <c r="U247" s="18">
        <f>IF(T247="","",IF(T247&gt;=Guide!$B$15,"PRIORITY","Low"))</f>
        <v/>
      </c>
    </row>
    <row r="248">
      <c r="A248" s="19" t="n"/>
      <c r="B248" s="19" t="n"/>
      <c r="C248" s="19" t="n"/>
      <c r="D248" s="20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21" t="n"/>
      <c r="O248" s="19" t="n"/>
      <c r="P248" s="19" t="n"/>
      <c r="Q248" s="19" t="n"/>
      <c r="R248" s="19" t="n"/>
      <c r="S248" s="18">
        <f>IF(D248="","",INDEX(Guide!$B$18:$B$25,MATCH(D248,Guide!$A$18:$A$25,1)))</f>
        <v/>
      </c>
      <c r="T248" s="18">
        <f>IF(OR(C248="",P248="",Q248="",R248="",D248=""),"",ROUND(C248*Guide!$B$9+P248*Guide!$B$10+S248*Guide!$B$11+Q248*Guide!$B$12+(100-R248)*Guide!$B$13,1))</f>
        <v/>
      </c>
      <c r="U248" s="18">
        <f>IF(T248="","",IF(T248&gt;=Guide!$B$15,"PRIORITY","Low"))</f>
        <v/>
      </c>
    </row>
    <row r="249">
      <c r="A249" s="19" t="n"/>
      <c r="B249" s="19" t="n"/>
      <c r="C249" s="19" t="n"/>
      <c r="D249" s="20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21" t="n"/>
      <c r="O249" s="19" t="n"/>
      <c r="P249" s="19" t="n"/>
      <c r="Q249" s="19" t="n"/>
      <c r="R249" s="19" t="n"/>
      <c r="S249" s="18">
        <f>IF(D249="","",INDEX(Guide!$B$18:$B$25,MATCH(D249,Guide!$A$18:$A$25,1)))</f>
        <v/>
      </c>
      <c r="T249" s="18">
        <f>IF(OR(C249="",P249="",Q249="",R249="",D249=""),"",ROUND(C249*Guide!$B$9+P249*Guide!$B$10+S249*Guide!$B$11+Q249*Guide!$B$12+(100-R249)*Guide!$B$13,1))</f>
        <v/>
      </c>
      <c r="U249" s="18">
        <f>IF(T249="","",IF(T249&gt;=Guide!$B$15,"PRIORITY","Low"))</f>
        <v/>
      </c>
    </row>
    <row r="250">
      <c r="A250" s="19" t="n"/>
      <c r="B250" s="19" t="n"/>
      <c r="C250" s="19" t="n"/>
      <c r="D250" s="20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21" t="n"/>
      <c r="O250" s="19" t="n"/>
      <c r="P250" s="19" t="n"/>
      <c r="Q250" s="19" t="n"/>
      <c r="R250" s="19" t="n"/>
      <c r="S250" s="18">
        <f>IF(D250="","",INDEX(Guide!$B$18:$B$25,MATCH(D250,Guide!$A$18:$A$25,1)))</f>
        <v/>
      </c>
      <c r="T250" s="18">
        <f>IF(OR(C250="",P250="",Q250="",R250="",D250=""),"",ROUND(C250*Guide!$B$9+P250*Guide!$B$10+S250*Guide!$B$11+Q250*Guide!$B$12+(100-R250)*Guide!$B$13,1))</f>
        <v/>
      </c>
      <c r="U250" s="18">
        <f>IF(T250="","",IF(T250&gt;=Guide!$B$15,"PRIORITY","Low"))</f>
        <v/>
      </c>
    </row>
    <row r="251">
      <c r="A251" s="19" t="n"/>
      <c r="B251" s="19" t="n"/>
      <c r="C251" s="19" t="n"/>
      <c r="D251" s="20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21" t="n"/>
      <c r="O251" s="19" t="n"/>
      <c r="P251" s="19" t="n"/>
      <c r="Q251" s="19" t="n"/>
      <c r="R251" s="19" t="n"/>
      <c r="S251" s="18">
        <f>IF(D251="","",INDEX(Guide!$B$18:$B$25,MATCH(D251,Guide!$A$18:$A$25,1)))</f>
        <v/>
      </c>
      <c r="T251" s="18">
        <f>IF(OR(C251="",P251="",Q251="",R251="",D251=""),"",ROUND(C251*Guide!$B$9+P251*Guide!$B$10+S251*Guide!$B$11+Q251*Guide!$B$12+(100-R251)*Guide!$B$13,1))</f>
        <v/>
      </c>
      <c r="U251" s="18">
        <f>IF(T251="","",IF(T251&gt;=Guide!$B$15,"PRIORITY","Low"))</f>
        <v/>
      </c>
    </row>
    <row r="252">
      <c r="A252" s="19" t="n"/>
      <c r="B252" s="19" t="n"/>
      <c r="C252" s="19" t="n"/>
      <c r="D252" s="20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21" t="n"/>
      <c r="O252" s="19" t="n"/>
      <c r="P252" s="19" t="n"/>
      <c r="Q252" s="19" t="n"/>
      <c r="R252" s="19" t="n"/>
      <c r="S252" s="18">
        <f>IF(D252="","",INDEX(Guide!$B$18:$B$25,MATCH(D252,Guide!$A$18:$A$25,1)))</f>
        <v/>
      </c>
      <c r="T252" s="18">
        <f>IF(OR(C252="",P252="",Q252="",R252="",D252=""),"",ROUND(C252*Guide!$B$9+P252*Guide!$B$10+S252*Guide!$B$11+Q252*Guide!$B$12+(100-R252)*Guide!$B$13,1))</f>
        <v/>
      </c>
      <c r="U252" s="18">
        <f>IF(T252="","",IF(T252&gt;=Guide!$B$15,"PRIORITY","Low"))</f>
        <v/>
      </c>
    </row>
    <row r="253">
      <c r="A253" s="19" t="n"/>
      <c r="B253" s="19" t="n"/>
      <c r="C253" s="19" t="n"/>
      <c r="D253" s="20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21" t="n"/>
      <c r="O253" s="19" t="n"/>
      <c r="P253" s="19" t="n"/>
      <c r="Q253" s="19" t="n"/>
      <c r="R253" s="19" t="n"/>
      <c r="S253" s="18">
        <f>IF(D253="","",INDEX(Guide!$B$18:$B$25,MATCH(D253,Guide!$A$18:$A$25,1)))</f>
        <v/>
      </c>
      <c r="T253" s="18">
        <f>IF(OR(C253="",P253="",Q253="",R253="",D253=""),"",ROUND(C253*Guide!$B$9+P253*Guide!$B$10+S253*Guide!$B$11+Q253*Guide!$B$12+(100-R253)*Guide!$B$13,1))</f>
        <v/>
      </c>
      <c r="U253" s="18">
        <f>IF(T253="","",IF(T253&gt;=Guide!$B$15,"PRIORITY","Low"))</f>
        <v/>
      </c>
    </row>
    <row r="254">
      <c r="A254" s="19" t="n"/>
      <c r="B254" s="19" t="n"/>
      <c r="C254" s="19" t="n"/>
      <c r="D254" s="20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21" t="n"/>
      <c r="O254" s="19" t="n"/>
      <c r="P254" s="19" t="n"/>
      <c r="Q254" s="19" t="n"/>
      <c r="R254" s="19" t="n"/>
      <c r="S254" s="18">
        <f>IF(D254="","",INDEX(Guide!$B$18:$B$25,MATCH(D254,Guide!$A$18:$A$25,1)))</f>
        <v/>
      </c>
      <c r="T254" s="18">
        <f>IF(OR(C254="",P254="",Q254="",R254="",D254=""),"",ROUND(C254*Guide!$B$9+P254*Guide!$B$10+S254*Guide!$B$11+Q254*Guide!$B$12+(100-R254)*Guide!$B$13,1))</f>
        <v/>
      </c>
      <c r="U254" s="18">
        <f>IF(T254="","",IF(T254&gt;=Guide!$B$15,"PRIORITY","Low"))</f>
        <v/>
      </c>
    </row>
    <row r="255">
      <c r="A255" s="19" t="n"/>
      <c r="B255" s="19" t="n"/>
      <c r="C255" s="19" t="n"/>
      <c r="D255" s="20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21" t="n"/>
      <c r="O255" s="19" t="n"/>
      <c r="P255" s="19" t="n"/>
      <c r="Q255" s="19" t="n"/>
      <c r="R255" s="19" t="n"/>
      <c r="S255" s="18">
        <f>IF(D255="","",INDEX(Guide!$B$18:$B$25,MATCH(D255,Guide!$A$18:$A$25,1)))</f>
        <v/>
      </c>
      <c r="T255" s="18">
        <f>IF(OR(C255="",P255="",Q255="",R255="",D255=""),"",ROUND(C255*Guide!$B$9+P255*Guide!$B$10+S255*Guide!$B$11+Q255*Guide!$B$12+(100-R255)*Guide!$B$13,1))</f>
        <v/>
      </c>
      <c r="U255" s="18">
        <f>IF(T255="","",IF(T255&gt;=Guide!$B$15,"PRIORITY","Low"))</f>
        <v/>
      </c>
    </row>
    <row r="256">
      <c r="A256" s="19" t="n"/>
      <c r="B256" s="19" t="n"/>
      <c r="C256" s="19" t="n"/>
      <c r="D256" s="20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21" t="n"/>
      <c r="O256" s="19" t="n"/>
      <c r="P256" s="19" t="n"/>
      <c r="Q256" s="19" t="n"/>
      <c r="R256" s="19" t="n"/>
      <c r="S256" s="18">
        <f>IF(D256="","",INDEX(Guide!$B$18:$B$25,MATCH(D256,Guide!$A$18:$A$25,1)))</f>
        <v/>
      </c>
      <c r="T256" s="18">
        <f>IF(OR(C256="",P256="",Q256="",R256="",D256=""),"",ROUND(C256*Guide!$B$9+P256*Guide!$B$10+S256*Guide!$B$11+Q256*Guide!$B$12+(100-R256)*Guide!$B$13,1))</f>
        <v/>
      </c>
      <c r="U256" s="18">
        <f>IF(T256="","",IF(T256&gt;=Guide!$B$15,"PRIORITY","Low"))</f>
        <v/>
      </c>
    </row>
    <row r="257">
      <c r="A257" s="19" t="n"/>
      <c r="B257" s="19" t="n"/>
      <c r="C257" s="19" t="n"/>
      <c r="D257" s="20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21" t="n"/>
      <c r="O257" s="19" t="n"/>
      <c r="P257" s="19" t="n"/>
      <c r="Q257" s="19" t="n"/>
      <c r="R257" s="19" t="n"/>
      <c r="S257" s="18">
        <f>IF(D257="","",INDEX(Guide!$B$18:$B$25,MATCH(D257,Guide!$A$18:$A$25,1)))</f>
        <v/>
      </c>
      <c r="T257" s="18">
        <f>IF(OR(C257="",P257="",Q257="",R257="",D257=""),"",ROUND(C257*Guide!$B$9+P257*Guide!$B$10+S257*Guide!$B$11+Q257*Guide!$B$12+(100-R257)*Guide!$B$13,1))</f>
        <v/>
      </c>
      <c r="U257" s="18">
        <f>IF(T257="","",IF(T257&gt;=Guide!$B$15,"PRIORITY","Low"))</f>
        <v/>
      </c>
    </row>
    <row r="258">
      <c r="A258" s="19" t="n"/>
      <c r="B258" s="19" t="n"/>
      <c r="C258" s="19" t="n"/>
      <c r="D258" s="20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21" t="n"/>
      <c r="O258" s="19" t="n"/>
      <c r="P258" s="19" t="n"/>
      <c r="Q258" s="19" t="n"/>
      <c r="R258" s="19" t="n"/>
      <c r="S258" s="18">
        <f>IF(D258="","",INDEX(Guide!$B$18:$B$25,MATCH(D258,Guide!$A$18:$A$25,1)))</f>
        <v/>
      </c>
      <c r="T258" s="18">
        <f>IF(OR(C258="",P258="",Q258="",R258="",D258=""),"",ROUND(C258*Guide!$B$9+P258*Guide!$B$10+S258*Guide!$B$11+Q258*Guide!$B$12+(100-R258)*Guide!$B$13,1))</f>
        <v/>
      </c>
      <c r="U258" s="18">
        <f>IF(T258="","",IF(T258&gt;=Guide!$B$15,"PRIORITY","Low"))</f>
        <v/>
      </c>
    </row>
    <row r="259">
      <c r="A259" s="19" t="n"/>
      <c r="B259" s="19" t="n"/>
      <c r="C259" s="19" t="n"/>
      <c r="D259" s="20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21" t="n"/>
      <c r="O259" s="19" t="n"/>
      <c r="P259" s="19" t="n"/>
      <c r="Q259" s="19" t="n"/>
      <c r="R259" s="19" t="n"/>
      <c r="S259" s="18">
        <f>IF(D259="","",INDEX(Guide!$B$18:$B$25,MATCH(D259,Guide!$A$18:$A$25,1)))</f>
        <v/>
      </c>
      <c r="T259" s="18">
        <f>IF(OR(C259="",P259="",Q259="",R259="",D259=""),"",ROUND(C259*Guide!$B$9+P259*Guide!$B$10+S259*Guide!$B$11+Q259*Guide!$B$12+(100-R259)*Guide!$B$13,1))</f>
        <v/>
      </c>
      <c r="U259" s="18">
        <f>IF(T259="","",IF(T259&gt;=Guide!$B$15,"PRIORITY","Low"))</f>
        <v/>
      </c>
    </row>
    <row r="260">
      <c r="A260" s="19" t="n"/>
      <c r="B260" s="19" t="n"/>
      <c r="C260" s="19" t="n"/>
      <c r="D260" s="20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21" t="n"/>
      <c r="O260" s="19" t="n"/>
      <c r="P260" s="19" t="n"/>
      <c r="Q260" s="19" t="n"/>
      <c r="R260" s="19" t="n"/>
      <c r="S260" s="18">
        <f>IF(D260="","",INDEX(Guide!$B$18:$B$25,MATCH(D260,Guide!$A$18:$A$25,1)))</f>
        <v/>
      </c>
      <c r="T260" s="18">
        <f>IF(OR(C260="",P260="",Q260="",R260="",D260=""),"",ROUND(C260*Guide!$B$9+P260*Guide!$B$10+S260*Guide!$B$11+Q260*Guide!$B$12+(100-R260)*Guide!$B$13,1))</f>
        <v/>
      </c>
      <c r="U260" s="18">
        <f>IF(T260="","",IF(T260&gt;=Guide!$B$15,"PRIORITY","Low"))</f>
        <v/>
      </c>
    </row>
    <row r="261">
      <c r="A261" s="19" t="n"/>
      <c r="B261" s="19" t="n"/>
      <c r="C261" s="19" t="n"/>
      <c r="D261" s="20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21" t="n"/>
      <c r="O261" s="19" t="n"/>
      <c r="P261" s="19" t="n"/>
      <c r="Q261" s="19" t="n"/>
      <c r="R261" s="19" t="n"/>
      <c r="S261" s="18">
        <f>IF(D261="","",INDEX(Guide!$B$18:$B$25,MATCH(D261,Guide!$A$18:$A$25,1)))</f>
        <v/>
      </c>
      <c r="T261" s="18">
        <f>IF(OR(C261="",P261="",Q261="",R261="",D261=""),"",ROUND(C261*Guide!$B$9+P261*Guide!$B$10+S261*Guide!$B$11+Q261*Guide!$B$12+(100-R261)*Guide!$B$13,1))</f>
        <v/>
      </c>
      <c r="U261" s="18">
        <f>IF(T261="","",IF(T261&gt;=Guide!$B$15,"PRIORITY","Low"))</f>
        <v/>
      </c>
    </row>
    <row r="262">
      <c r="A262" s="19" t="n"/>
      <c r="B262" s="19" t="n"/>
      <c r="C262" s="19" t="n"/>
      <c r="D262" s="20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21" t="n"/>
      <c r="O262" s="19" t="n"/>
      <c r="P262" s="19" t="n"/>
      <c r="Q262" s="19" t="n"/>
      <c r="R262" s="19" t="n"/>
      <c r="S262" s="18">
        <f>IF(D262="","",INDEX(Guide!$B$18:$B$25,MATCH(D262,Guide!$A$18:$A$25,1)))</f>
        <v/>
      </c>
      <c r="T262" s="18">
        <f>IF(OR(C262="",P262="",Q262="",R262="",D262=""),"",ROUND(C262*Guide!$B$9+P262*Guide!$B$10+S262*Guide!$B$11+Q262*Guide!$B$12+(100-R262)*Guide!$B$13,1))</f>
        <v/>
      </c>
      <c r="U262" s="18">
        <f>IF(T262="","",IF(T262&gt;=Guide!$B$15,"PRIORITY","Low"))</f>
        <v/>
      </c>
    </row>
    <row r="263">
      <c r="A263" s="19" t="n"/>
      <c r="B263" s="19" t="n"/>
      <c r="C263" s="19" t="n"/>
      <c r="D263" s="20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21" t="n"/>
      <c r="O263" s="19" t="n"/>
      <c r="P263" s="19" t="n"/>
      <c r="Q263" s="19" t="n"/>
      <c r="R263" s="19" t="n"/>
      <c r="S263" s="18">
        <f>IF(D263="","",INDEX(Guide!$B$18:$B$25,MATCH(D263,Guide!$A$18:$A$25,1)))</f>
        <v/>
      </c>
      <c r="T263" s="18">
        <f>IF(OR(C263="",P263="",Q263="",R263="",D263=""),"",ROUND(C263*Guide!$B$9+P263*Guide!$B$10+S263*Guide!$B$11+Q263*Guide!$B$12+(100-R263)*Guide!$B$13,1))</f>
        <v/>
      </c>
      <c r="U263" s="18">
        <f>IF(T263="","",IF(T263&gt;=Guide!$B$15,"PRIORITY","Low"))</f>
        <v/>
      </c>
    </row>
    <row r="264">
      <c r="A264" s="19" t="n"/>
      <c r="B264" s="19" t="n"/>
      <c r="C264" s="19" t="n"/>
      <c r="D264" s="20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21" t="n"/>
      <c r="O264" s="19" t="n"/>
      <c r="P264" s="19" t="n"/>
      <c r="Q264" s="19" t="n"/>
      <c r="R264" s="19" t="n"/>
      <c r="S264" s="18">
        <f>IF(D264="","",INDEX(Guide!$B$18:$B$25,MATCH(D264,Guide!$A$18:$A$25,1)))</f>
        <v/>
      </c>
      <c r="T264" s="18">
        <f>IF(OR(C264="",P264="",Q264="",R264="",D264=""),"",ROUND(C264*Guide!$B$9+P264*Guide!$B$10+S264*Guide!$B$11+Q264*Guide!$B$12+(100-R264)*Guide!$B$13,1))</f>
        <v/>
      </c>
      <c r="U264" s="18">
        <f>IF(T264="","",IF(T264&gt;=Guide!$B$15,"PRIORITY","Low"))</f>
        <v/>
      </c>
    </row>
    <row r="265">
      <c r="A265" s="19" t="n"/>
      <c r="B265" s="19" t="n"/>
      <c r="C265" s="19" t="n"/>
      <c r="D265" s="20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21" t="n"/>
      <c r="O265" s="19" t="n"/>
      <c r="P265" s="19" t="n"/>
      <c r="Q265" s="19" t="n"/>
      <c r="R265" s="19" t="n"/>
      <c r="S265" s="18">
        <f>IF(D265="","",INDEX(Guide!$B$18:$B$25,MATCH(D265,Guide!$A$18:$A$25,1)))</f>
        <v/>
      </c>
      <c r="T265" s="18">
        <f>IF(OR(C265="",P265="",Q265="",R265="",D265=""),"",ROUND(C265*Guide!$B$9+P265*Guide!$B$10+S265*Guide!$B$11+Q265*Guide!$B$12+(100-R265)*Guide!$B$13,1))</f>
        <v/>
      </c>
      <c r="U265" s="18">
        <f>IF(T265="","",IF(T265&gt;=Guide!$B$15,"PRIORITY","Low"))</f>
        <v/>
      </c>
    </row>
    <row r="266">
      <c r="A266" s="19" t="n"/>
      <c r="B266" s="19" t="n"/>
      <c r="C266" s="19" t="n"/>
      <c r="D266" s="20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21" t="n"/>
      <c r="O266" s="19" t="n"/>
      <c r="P266" s="19" t="n"/>
      <c r="Q266" s="19" t="n"/>
      <c r="R266" s="19" t="n"/>
      <c r="S266" s="18">
        <f>IF(D266="","",INDEX(Guide!$B$18:$B$25,MATCH(D266,Guide!$A$18:$A$25,1)))</f>
        <v/>
      </c>
      <c r="T266" s="18">
        <f>IF(OR(C266="",P266="",Q266="",R266="",D266=""),"",ROUND(C266*Guide!$B$9+P266*Guide!$B$10+S266*Guide!$B$11+Q266*Guide!$B$12+(100-R266)*Guide!$B$13,1))</f>
        <v/>
      </c>
      <c r="U266" s="18">
        <f>IF(T266="","",IF(T266&gt;=Guide!$B$15,"PRIORITY","Low"))</f>
        <v/>
      </c>
    </row>
    <row r="267">
      <c r="A267" s="19" t="n"/>
      <c r="B267" s="19" t="n"/>
      <c r="C267" s="19" t="n"/>
      <c r="D267" s="20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21" t="n"/>
      <c r="O267" s="19" t="n"/>
      <c r="P267" s="19" t="n"/>
      <c r="Q267" s="19" t="n"/>
      <c r="R267" s="19" t="n"/>
      <c r="S267" s="18">
        <f>IF(D267="","",INDEX(Guide!$B$18:$B$25,MATCH(D267,Guide!$A$18:$A$25,1)))</f>
        <v/>
      </c>
      <c r="T267" s="18">
        <f>IF(OR(C267="",P267="",Q267="",R267="",D267=""),"",ROUND(C267*Guide!$B$9+P267*Guide!$B$10+S267*Guide!$B$11+Q267*Guide!$B$12+(100-R267)*Guide!$B$13,1))</f>
        <v/>
      </c>
      <c r="U267" s="18">
        <f>IF(T267="","",IF(T267&gt;=Guide!$B$15,"PRIORITY","Low"))</f>
        <v/>
      </c>
    </row>
    <row r="268">
      <c r="A268" s="19" t="n"/>
      <c r="B268" s="19" t="n"/>
      <c r="C268" s="19" t="n"/>
      <c r="D268" s="20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21" t="n"/>
      <c r="O268" s="19" t="n"/>
      <c r="P268" s="19" t="n"/>
      <c r="Q268" s="19" t="n"/>
      <c r="R268" s="19" t="n"/>
      <c r="S268" s="18">
        <f>IF(D268="","",INDEX(Guide!$B$18:$B$25,MATCH(D268,Guide!$A$18:$A$25,1)))</f>
        <v/>
      </c>
      <c r="T268" s="18">
        <f>IF(OR(C268="",P268="",Q268="",R268="",D268=""),"",ROUND(C268*Guide!$B$9+P268*Guide!$B$10+S268*Guide!$B$11+Q268*Guide!$B$12+(100-R268)*Guide!$B$13,1))</f>
        <v/>
      </c>
      <c r="U268" s="18">
        <f>IF(T268="","",IF(T268&gt;=Guide!$B$15,"PRIORITY","Low"))</f>
        <v/>
      </c>
    </row>
    <row r="269">
      <c r="A269" s="19" t="n"/>
      <c r="B269" s="19" t="n"/>
      <c r="C269" s="19" t="n"/>
      <c r="D269" s="20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21" t="n"/>
      <c r="O269" s="19" t="n"/>
      <c r="P269" s="19" t="n"/>
      <c r="Q269" s="19" t="n"/>
      <c r="R269" s="19" t="n"/>
      <c r="S269" s="18">
        <f>IF(D269="","",INDEX(Guide!$B$18:$B$25,MATCH(D269,Guide!$A$18:$A$25,1)))</f>
        <v/>
      </c>
      <c r="T269" s="18">
        <f>IF(OR(C269="",P269="",Q269="",R269="",D269=""),"",ROUND(C269*Guide!$B$9+P269*Guide!$B$10+S269*Guide!$B$11+Q269*Guide!$B$12+(100-R269)*Guide!$B$13,1))</f>
        <v/>
      </c>
      <c r="U269" s="18">
        <f>IF(T269="","",IF(T269&gt;=Guide!$B$15,"PRIORITY","Low"))</f>
        <v/>
      </c>
    </row>
    <row r="270">
      <c r="A270" s="19" t="n"/>
      <c r="B270" s="19" t="n"/>
      <c r="C270" s="19" t="n"/>
      <c r="D270" s="20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21" t="n"/>
      <c r="O270" s="19" t="n"/>
      <c r="P270" s="19" t="n"/>
      <c r="Q270" s="19" t="n"/>
      <c r="R270" s="19" t="n"/>
      <c r="S270" s="18">
        <f>IF(D270="","",INDEX(Guide!$B$18:$B$25,MATCH(D270,Guide!$A$18:$A$25,1)))</f>
        <v/>
      </c>
      <c r="T270" s="18">
        <f>IF(OR(C270="",P270="",Q270="",R270="",D270=""),"",ROUND(C270*Guide!$B$9+P270*Guide!$B$10+S270*Guide!$B$11+Q270*Guide!$B$12+(100-R270)*Guide!$B$13,1))</f>
        <v/>
      </c>
      <c r="U270" s="18">
        <f>IF(T270="","",IF(T270&gt;=Guide!$B$15,"PRIORITY","Low"))</f>
        <v/>
      </c>
    </row>
    <row r="271">
      <c r="A271" s="19" t="n"/>
      <c r="B271" s="19" t="n"/>
      <c r="C271" s="19" t="n"/>
      <c r="D271" s="20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21" t="n"/>
      <c r="O271" s="19" t="n"/>
      <c r="P271" s="19" t="n"/>
      <c r="Q271" s="19" t="n"/>
      <c r="R271" s="19" t="n"/>
      <c r="S271" s="18">
        <f>IF(D271="","",INDEX(Guide!$B$18:$B$25,MATCH(D271,Guide!$A$18:$A$25,1)))</f>
        <v/>
      </c>
      <c r="T271" s="18">
        <f>IF(OR(C271="",P271="",Q271="",R271="",D271=""),"",ROUND(C271*Guide!$B$9+P271*Guide!$B$10+S271*Guide!$B$11+Q271*Guide!$B$12+(100-R271)*Guide!$B$13,1))</f>
        <v/>
      </c>
      <c r="U271" s="18">
        <f>IF(T271="","",IF(T271&gt;=Guide!$B$15,"PRIORITY","Low"))</f>
        <v/>
      </c>
    </row>
    <row r="272">
      <c r="A272" s="19" t="n"/>
      <c r="B272" s="19" t="n"/>
      <c r="C272" s="19" t="n"/>
      <c r="D272" s="20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21" t="n"/>
      <c r="O272" s="19" t="n"/>
      <c r="P272" s="19" t="n"/>
      <c r="Q272" s="19" t="n"/>
      <c r="R272" s="19" t="n"/>
      <c r="S272" s="18">
        <f>IF(D272="","",INDEX(Guide!$B$18:$B$25,MATCH(D272,Guide!$A$18:$A$25,1)))</f>
        <v/>
      </c>
      <c r="T272" s="18">
        <f>IF(OR(C272="",P272="",Q272="",R272="",D272=""),"",ROUND(C272*Guide!$B$9+P272*Guide!$B$10+S272*Guide!$B$11+Q272*Guide!$B$12+(100-R272)*Guide!$B$13,1))</f>
        <v/>
      </c>
      <c r="U272" s="18">
        <f>IF(T272="","",IF(T272&gt;=Guide!$B$15,"PRIORITY","Low"))</f>
        <v/>
      </c>
    </row>
    <row r="273">
      <c r="A273" s="19" t="n"/>
      <c r="B273" s="19" t="n"/>
      <c r="C273" s="19" t="n"/>
      <c r="D273" s="20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21" t="n"/>
      <c r="O273" s="19" t="n"/>
      <c r="P273" s="19" t="n"/>
      <c r="Q273" s="19" t="n"/>
      <c r="R273" s="19" t="n"/>
      <c r="S273" s="18">
        <f>IF(D273="","",INDEX(Guide!$B$18:$B$25,MATCH(D273,Guide!$A$18:$A$25,1)))</f>
        <v/>
      </c>
      <c r="T273" s="18">
        <f>IF(OR(C273="",P273="",Q273="",R273="",D273=""),"",ROUND(C273*Guide!$B$9+P273*Guide!$B$10+S273*Guide!$B$11+Q273*Guide!$B$12+(100-R273)*Guide!$B$13,1))</f>
        <v/>
      </c>
      <c r="U273" s="18">
        <f>IF(T273="","",IF(T273&gt;=Guide!$B$15,"PRIORITY","Low"))</f>
        <v/>
      </c>
    </row>
    <row r="274">
      <c r="A274" s="19" t="n"/>
      <c r="B274" s="19" t="n"/>
      <c r="C274" s="19" t="n"/>
      <c r="D274" s="20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21" t="n"/>
      <c r="O274" s="19" t="n"/>
      <c r="P274" s="19" t="n"/>
      <c r="Q274" s="19" t="n"/>
      <c r="R274" s="19" t="n"/>
      <c r="S274" s="18">
        <f>IF(D274="","",INDEX(Guide!$B$18:$B$25,MATCH(D274,Guide!$A$18:$A$25,1)))</f>
        <v/>
      </c>
      <c r="T274" s="18">
        <f>IF(OR(C274="",P274="",Q274="",R274="",D274=""),"",ROUND(C274*Guide!$B$9+P274*Guide!$B$10+S274*Guide!$B$11+Q274*Guide!$B$12+(100-R274)*Guide!$B$13,1))</f>
        <v/>
      </c>
      <c r="U274" s="18">
        <f>IF(T274="","",IF(T274&gt;=Guide!$B$15,"PRIORITY","Low"))</f>
        <v/>
      </c>
    </row>
    <row r="275">
      <c r="A275" s="19" t="n"/>
      <c r="B275" s="19" t="n"/>
      <c r="C275" s="19" t="n"/>
      <c r="D275" s="20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21" t="n"/>
      <c r="O275" s="19" t="n"/>
      <c r="P275" s="19" t="n"/>
      <c r="Q275" s="19" t="n"/>
      <c r="R275" s="19" t="n"/>
      <c r="S275" s="18">
        <f>IF(D275="","",INDEX(Guide!$B$18:$B$25,MATCH(D275,Guide!$A$18:$A$25,1)))</f>
        <v/>
      </c>
      <c r="T275" s="18">
        <f>IF(OR(C275="",P275="",Q275="",R275="",D275=""),"",ROUND(C275*Guide!$B$9+P275*Guide!$B$10+S275*Guide!$B$11+Q275*Guide!$B$12+(100-R275)*Guide!$B$13,1))</f>
        <v/>
      </c>
      <c r="U275" s="18">
        <f>IF(T275="","",IF(T275&gt;=Guide!$B$15,"PRIORITY","Low"))</f>
        <v/>
      </c>
    </row>
    <row r="276">
      <c r="A276" s="19" t="n"/>
      <c r="B276" s="19" t="n"/>
      <c r="C276" s="19" t="n"/>
      <c r="D276" s="20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21" t="n"/>
      <c r="O276" s="19" t="n"/>
      <c r="P276" s="19" t="n"/>
      <c r="Q276" s="19" t="n"/>
      <c r="R276" s="19" t="n"/>
      <c r="S276" s="18">
        <f>IF(D276="","",INDEX(Guide!$B$18:$B$25,MATCH(D276,Guide!$A$18:$A$25,1)))</f>
        <v/>
      </c>
      <c r="T276" s="18">
        <f>IF(OR(C276="",P276="",Q276="",R276="",D276=""),"",ROUND(C276*Guide!$B$9+P276*Guide!$B$10+S276*Guide!$B$11+Q276*Guide!$B$12+(100-R276)*Guide!$B$13,1))</f>
        <v/>
      </c>
      <c r="U276" s="18">
        <f>IF(T276="","",IF(T276&gt;=Guide!$B$15,"PRIORITY","Low"))</f>
        <v/>
      </c>
    </row>
    <row r="277">
      <c r="A277" s="19" t="n"/>
      <c r="B277" s="19" t="n"/>
      <c r="C277" s="19" t="n"/>
      <c r="D277" s="20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21" t="n"/>
      <c r="O277" s="19" t="n"/>
      <c r="P277" s="19" t="n"/>
      <c r="Q277" s="19" t="n"/>
      <c r="R277" s="19" t="n"/>
      <c r="S277" s="18">
        <f>IF(D277="","",INDEX(Guide!$B$18:$B$25,MATCH(D277,Guide!$A$18:$A$25,1)))</f>
        <v/>
      </c>
      <c r="T277" s="18">
        <f>IF(OR(C277="",P277="",Q277="",R277="",D277=""),"",ROUND(C277*Guide!$B$9+P277*Guide!$B$10+S277*Guide!$B$11+Q277*Guide!$B$12+(100-R277)*Guide!$B$13,1))</f>
        <v/>
      </c>
      <c r="U277" s="18">
        <f>IF(T277="","",IF(T277&gt;=Guide!$B$15,"PRIORITY","Low"))</f>
        <v/>
      </c>
    </row>
    <row r="278">
      <c r="A278" s="19" t="n"/>
      <c r="B278" s="19" t="n"/>
      <c r="C278" s="19" t="n"/>
      <c r="D278" s="20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21" t="n"/>
      <c r="O278" s="19" t="n"/>
      <c r="P278" s="19" t="n"/>
      <c r="Q278" s="19" t="n"/>
      <c r="R278" s="19" t="n"/>
      <c r="S278" s="18">
        <f>IF(D278="","",INDEX(Guide!$B$18:$B$25,MATCH(D278,Guide!$A$18:$A$25,1)))</f>
        <v/>
      </c>
      <c r="T278" s="18">
        <f>IF(OR(C278="",P278="",Q278="",R278="",D278=""),"",ROUND(C278*Guide!$B$9+P278*Guide!$B$10+S278*Guide!$B$11+Q278*Guide!$B$12+(100-R278)*Guide!$B$13,1))</f>
        <v/>
      </c>
      <c r="U278" s="18">
        <f>IF(T278="","",IF(T278&gt;=Guide!$B$15,"PRIORITY","Low"))</f>
        <v/>
      </c>
    </row>
    <row r="279">
      <c r="A279" s="19" t="n"/>
      <c r="B279" s="19" t="n"/>
      <c r="C279" s="19" t="n"/>
      <c r="D279" s="20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21" t="n"/>
      <c r="O279" s="19" t="n"/>
      <c r="P279" s="19" t="n"/>
      <c r="Q279" s="19" t="n"/>
      <c r="R279" s="19" t="n"/>
      <c r="S279" s="18">
        <f>IF(D279="","",INDEX(Guide!$B$18:$B$25,MATCH(D279,Guide!$A$18:$A$25,1)))</f>
        <v/>
      </c>
      <c r="T279" s="18">
        <f>IF(OR(C279="",P279="",Q279="",R279="",D279=""),"",ROUND(C279*Guide!$B$9+P279*Guide!$B$10+S279*Guide!$B$11+Q279*Guide!$B$12+(100-R279)*Guide!$B$13,1))</f>
        <v/>
      </c>
      <c r="U279" s="18">
        <f>IF(T279="","",IF(T279&gt;=Guide!$B$15,"PRIORITY","Low"))</f>
        <v/>
      </c>
    </row>
    <row r="280">
      <c r="A280" s="19" t="n"/>
      <c r="B280" s="19" t="n"/>
      <c r="C280" s="19" t="n"/>
      <c r="D280" s="20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21" t="n"/>
      <c r="O280" s="19" t="n"/>
      <c r="P280" s="19" t="n"/>
      <c r="Q280" s="19" t="n"/>
      <c r="R280" s="19" t="n"/>
      <c r="S280" s="18">
        <f>IF(D280="","",INDEX(Guide!$B$18:$B$25,MATCH(D280,Guide!$A$18:$A$25,1)))</f>
        <v/>
      </c>
      <c r="T280" s="18">
        <f>IF(OR(C280="",P280="",Q280="",R280="",D280=""),"",ROUND(C280*Guide!$B$9+P280*Guide!$B$10+S280*Guide!$B$11+Q280*Guide!$B$12+(100-R280)*Guide!$B$13,1))</f>
        <v/>
      </c>
      <c r="U280" s="18">
        <f>IF(T280="","",IF(T280&gt;=Guide!$B$15,"PRIORITY","Low"))</f>
        <v/>
      </c>
    </row>
    <row r="281">
      <c r="A281" s="19" t="n"/>
      <c r="B281" s="19" t="n"/>
      <c r="C281" s="19" t="n"/>
      <c r="D281" s="20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21" t="n"/>
      <c r="O281" s="19" t="n"/>
      <c r="P281" s="19" t="n"/>
      <c r="Q281" s="19" t="n"/>
      <c r="R281" s="19" t="n"/>
      <c r="S281" s="18">
        <f>IF(D281="","",INDEX(Guide!$B$18:$B$25,MATCH(D281,Guide!$A$18:$A$25,1)))</f>
        <v/>
      </c>
      <c r="T281" s="18">
        <f>IF(OR(C281="",P281="",Q281="",R281="",D281=""),"",ROUND(C281*Guide!$B$9+P281*Guide!$B$10+S281*Guide!$B$11+Q281*Guide!$B$12+(100-R281)*Guide!$B$13,1))</f>
        <v/>
      </c>
      <c r="U281" s="18">
        <f>IF(T281="","",IF(T281&gt;=Guide!$B$15,"PRIORITY","Low"))</f>
        <v/>
      </c>
    </row>
    <row r="282">
      <c r="A282" s="19" t="n"/>
      <c r="B282" s="19" t="n"/>
      <c r="C282" s="19" t="n"/>
      <c r="D282" s="20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21" t="n"/>
      <c r="O282" s="19" t="n"/>
      <c r="P282" s="19" t="n"/>
      <c r="Q282" s="19" t="n"/>
      <c r="R282" s="19" t="n"/>
      <c r="S282" s="18">
        <f>IF(D282="","",INDEX(Guide!$B$18:$B$25,MATCH(D282,Guide!$A$18:$A$25,1)))</f>
        <v/>
      </c>
      <c r="T282" s="18">
        <f>IF(OR(C282="",P282="",Q282="",R282="",D282=""),"",ROUND(C282*Guide!$B$9+P282*Guide!$B$10+S282*Guide!$B$11+Q282*Guide!$B$12+(100-R282)*Guide!$B$13,1))</f>
        <v/>
      </c>
      <c r="U282" s="18">
        <f>IF(T282="","",IF(T282&gt;=Guide!$B$15,"PRIORITY","Low"))</f>
        <v/>
      </c>
    </row>
    <row r="283">
      <c r="A283" s="19" t="n"/>
      <c r="B283" s="19" t="n"/>
      <c r="C283" s="19" t="n"/>
      <c r="D283" s="20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21" t="n"/>
      <c r="O283" s="19" t="n"/>
      <c r="P283" s="19" t="n"/>
      <c r="Q283" s="19" t="n"/>
      <c r="R283" s="19" t="n"/>
      <c r="S283" s="18">
        <f>IF(D283="","",INDEX(Guide!$B$18:$B$25,MATCH(D283,Guide!$A$18:$A$25,1)))</f>
        <v/>
      </c>
      <c r="T283" s="18">
        <f>IF(OR(C283="",P283="",Q283="",R283="",D283=""),"",ROUND(C283*Guide!$B$9+P283*Guide!$B$10+S283*Guide!$B$11+Q283*Guide!$B$12+(100-R283)*Guide!$B$13,1))</f>
        <v/>
      </c>
      <c r="U283" s="18">
        <f>IF(T283="","",IF(T283&gt;=Guide!$B$15,"PRIORITY","Low"))</f>
        <v/>
      </c>
    </row>
    <row r="284">
      <c r="A284" s="19" t="n"/>
      <c r="B284" s="19" t="n"/>
      <c r="C284" s="19" t="n"/>
      <c r="D284" s="20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21" t="n"/>
      <c r="O284" s="19" t="n"/>
      <c r="P284" s="19" t="n"/>
      <c r="Q284" s="19" t="n"/>
      <c r="R284" s="19" t="n"/>
      <c r="S284" s="18">
        <f>IF(D284="","",INDEX(Guide!$B$18:$B$25,MATCH(D284,Guide!$A$18:$A$25,1)))</f>
        <v/>
      </c>
      <c r="T284" s="18">
        <f>IF(OR(C284="",P284="",Q284="",R284="",D284=""),"",ROUND(C284*Guide!$B$9+P284*Guide!$B$10+S284*Guide!$B$11+Q284*Guide!$B$12+(100-R284)*Guide!$B$13,1))</f>
        <v/>
      </c>
      <c r="U284" s="18">
        <f>IF(T284="","",IF(T284&gt;=Guide!$B$15,"PRIORITY","Low"))</f>
        <v/>
      </c>
    </row>
    <row r="285">
      <c r="A285" s="19" t="n"/>
      <c r="B285" s="19" t="n"/>
      <c r="C285" s="19" t="n"/>
      <c r="D285" s="20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21" t="n"/>
      <c r="O285" s="19" t="n"/>
      <c r="P285" s="19" t="n"/>
      <c r="Q285" s="19" t="n"/>
      <c r="R285" s="19" t="n"/>
      <c r="S285" s="18">
        <f>IF(D285="","",INDEX(Guide!$B$18:$B$25,MATCH(D285,Guide!$A$18:$A$25,1)))</f>
        <v/>
      </c>
      <c r="T285" s="18">
        <f>IF(OR(C285="",P285="",Q285="",R285="",D285=""),"",ROUND(C285*Guide!$B$9+P285*Guide!$B$10+S285*Guide!$B$11+Q285*Guide!$B$12+(100-R285)*Guide!$B$13,1))</f>
        <v/>
      </c>
      <c r="U285" s="18">
        <f>IF(T285="","",IF(T285&gt;=Guide!$B$15,"PRIORITY","Low"))</f>
        <v/>
      </c>
    </row>
    <row r="286">
      <c r="A286" s="19" t="n"/>
      <c r="B286" s="19" t="n"/>
      <c r="C286" s="19" t="n"/>
      <c r="D286" s="20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21" t="n"/>
      <c r="O286" s="19" t="n"/>
      <c r="P286" s="19" t="n"/>
      <c r="Q286" s="19" t="n"/>
      <c r="R286" s="19" t="n"/>
      <c r="S286" s="18">
        <f>IF(D286="","",INDEX(Guide!$B$18:$B$25,MATCH(D286,Guide!$A$18:$A$25,1)))</f>
        <v/>
      </c>
      <c r="T286" s="18">
        <f>IF(OR(C286="",P286="",Q286="",R286="",D286=""),"",ROUND(C286*Guide!$B$9+P286*Guide!$B$10+S286*Guide!$B$11+Q286*Guide!$B$12+(100-R286)*Guide!$B$13,1))</f>
        <v/>
      </c>
      <c r="U286" s="18">
        <f>IF(T286="","",IF(T286&gt;=Guide!$B$15,"PRIORITY","Low"))</f>
        <v/>
      </c>
    </row>
    <row r="287">
      <c r="A287" s="19" t="n"/>
      <c r="B287" s="19" t="n"/>
      <c r="C287" s="19" t="n"/>
      <c r="D287" s="20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21" t="n"/>
      <c r="O287" s="19" t="n"/>
      <c r="P287" s="19" t="n"/>
      <c r="Q287" s="19" t="n"/>
      <c r="R287" s="19" t="n"/>
      <c r="S287" s="18">
        <f>IF(D287="","",INDEX(Guide!$B$18:$B$25,MATCH(D287,Guide!$A$18:$A$25,1)))</f>
        <v/>
      </c>
      <c r="T287" s="18">
        <f>IF(OR(C287="",P287="",Q287="",R287="",D287=""),"",ROUND(C287*Guide!$B$9+P287*Guide!$B$10+S287*Guide!$B$11+Q287*Guide!$B$12+(100-R287)*Guide!$B$13,1))</f>
        <v/>
      </c>
      <c r="U287" s="18">
        <f>IF(T287="","",IF(T287&gt;=Guide!$B$15,"PRIORITY","Low"))</f>
        <v/>
      </c>
    </row>
    <row r="288">
      <c r="A288" s="19" t="n"/>
      <c r="B288" s="19" t="n"/>
      <c r="C288" s="19" t="n"/>
      <c r="D288" s="20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21" t="n"/>
      <c r="O288" s="19" t="n"/>
      <c r="P288" s="19" t="n"/>
      <c r="Q288" s="19" t="n"/>
      <c r="R288" s="19" t="n"/>
      <c r="S288" s="18">
        <f>IF(D288="","",INDEX(Guide!$B$18:$B$25,MATCH(D288,Guide!$A$18:$A$25,1)))</f>
        <v/>
      </c>
      <c r="T288" s="18">
        <f>IF(OR(C288="",P288="",Q288="",R288="",D288=""),"",ROUND(C288*Guide!$B$9+P288*Guide!$B$10+S288*Guide!$B$11+Q288*Guide!$B$12+(100-R288)*Guide!$B$13,1))</f>
        <v/>
      </c>
      <c r="U288" s="18">
        <f>IF(T288="","",IF(T288&gt;=Guide!$B$15,"PRIORITY","Low"))</f>
        <v/>
      </c>
    </row>
    <row r="289">
      <c r="A289" s="19" t="n"/>
      <c r="B289" s="19" t="n"/>
      <c r="C289" s="19" t="n"/>
      <c r="D289" s="20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21" t="n"/>
      <c r="O289" s="19" t="n"/>
      <c r="P289" s="19" t="n"/>
      <c r="Q289" s="19" t="n"/>
      <c r="R289" s="19" t="n"/>
      <c r="S289" s="18">
        <f>IF(D289="","",INDEX(Guide!$B$18:$B$25,MATCH(D289,Guide!$A$18:$A$25,1)))</f>
        <v/>
      </c>
      <c r="T289" s="18">
        <f>IF(OR(C289="",P289="",Q289="",R289="",D289=""),"",ROUND(C289*Guide!$B$9+P289*Guide!$B$10+S289*Guide!$B$11+Q289*Guide!$B$12+(100-R289)*Guide!$B$13,1))</f>
        <v/>
      </c>
      <c r="U289" s="18">
        <f>IF(T289="","",IF(T289&gt;=Guide!$B$15,"PRIORITY","Low"))</f>
        <v/>
      </c>
    </row>
    <row r="290">
      <c r="A290" s="19" t="n"/>
      <c r="B290" s="19" t="n"/>
      <c r="C290" s="19" t="n"/>
      <c r="D290" s="20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21" t="n"/>
      <c r="O290" s="19" t="n"/>
      <c r="P290" s="19" t="n"/>
      <c r="Q290" s="19" t="n"/>
      <c r="R290" s="19" t="n"/>
      <c r="S290" s="18">
        <f>IF(D290="","",INDEX(Guide!$B$18:$B$25,MATCH(D290,Guide!$A$18:$A$25,1)))</f>
        <v/>
      </c>
      <c r="T290" s="18">
        <f>IF(OR(C290="",P290="",Q290="",R290="",D290=""),"",ROUND(C290*Guide!$B$9+P290*Guide!$B$10+S290*Guide!$B$11+Q290*Guide!$B$12+(100-R290)*Guide!$B$13,1))</f>
        <v/>
      </c>
      <c r="U290" s="18">
        <f>IF(T290="","",IF(T290&gt;=Guide!$B$15,"PRIORITY","Low"))</f>
        <v/>
      </c>
    </row>
    <row r="291">
      <c r="A291" s="19" t="n"/>
      <c r="B291" s="19" t="n"/>
      <c r="C291" s="19" t="n"/>
      <c r="D291" s="20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21" t="n"/>
      <c r="O291" s="19" t="n"/>
      <c r="P291" s="19" t="n"/>
      <c r="Q291" s="19" t="n"/>
      <c r="R291" s="19" t="n"/>
      <c r="S291" s="18">
        <f>IF(D291="","",INDEX(Guide!$B$18:$B$25,MATCH(D291,Guide!$A$18:$A$25,1)))</f>
        <v/>
      </c>
      <c r="T291" s="18">
        <f>IF(OR(C291="",P291="",Q291="",R291="",D291=""),"",ROUND(C291*Guide!$B$9+P291*Guide!$B$10+S291*Guide!$B$11+Q291*Guide!$B$12+(100-R291)*Guide!$B$13,1))</f>
        <v/>
      </c>
      <c r="U291" s="18">
        <f>IF(T291="","",IF(T291&gt;=Guide!$B$15,"PRIORITY","Low"))</f>
        <v/>
      </c>
    </row>
    <row r="292">
      <c r="A292" s="19" t="n"/>
      <c r="B292" s="19" t="n"/>
      <c r="C292" s="19" t="n"/>
      <c r="D292" s="20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21" t="n"/>
      <c r="O292" s="19" t="n"/>
      <c r="P292" s="19" t="n"/>
      <c r="Q292" s="19" t="n"/>
      <c r="R292" s="19" t="n"/>
      <c r="S292" s="18">
        <f>IF(D292="","",INDEX(Guide!$B$18:$B$25,MATCH(D292,Guide!$A$18:$A$25,1)))</f>
        <v/>
      </c>
      <c r="T292" s="18">
        <f>IF(OR(C292="",P292="",Q292="",R292="",D292=""),"",ROUND(C292*Guide!$B$9+P292*Guide!$B$10+S292*Guide!$B$11+Q292*Guide!$B$12+(100-R292)*Guide!$B$13,1))</f>
        <v/>
      </c>
      <c r="U292" s="18">
        <f>IF(T292="","",IF(T292&gt;=Guide!$B$15,"PRIORITY","Low"))</f>
        <v/>
      </c>
    </row>
    <row r="293">
      <c r="A293" s="19" t="n"/>
      <c r="B293" s="19" t="n"/>
      <c r="C293" s="19" t="n"/>
      <c r="D293" s="20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21" t="n"/>
      <c r="O293" s="19" t="n"/>
      <c r="P293" s="19" t="n"/>
      <c r="Q293" s="19" t="n"/>
      <c r="R293" s="19" t="n"/>
      <c r="S293" s="18">
        <f>IF(D293="","",INDEX(Guide!$B$18:$B$25,MATCH(D293,Guide!$A$18:$A$25,1)))</f>
        <v/>
      </c>
      <c r="T293" s="18">
        <f>IF(OR(C293="",P293="",Q293="",R293="",D293=""),"",ROUND(C293*Guide!$B$9+P293*Guide!$B$10+S293*Guide!$B$11+Q293*Guide!$B$12+(100-R293)*Guide!$B$13,1))</f>
        <v/>
      </c>
      <c r="U293" s="18">
        <f>IF(T293="","",IF(T293&gt;=Guide!$B$15,"PRIORITY","Low"))</f>
        <v/>
      </c>
    </row>
    <row r="294">
      <c r="A294" s="19" t="n"/>
      <c r="B294" s="19" t="n"/>
      <c r="C294" s="19" t="n"/>
      <c r="D294" s="20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21" t="n"/>
      <c r="O294" s="19" t="n"/>
      <c r="P294" s="19" t="n"/>
      <c r="Q294" s="19" t="n"/>
      <c r="R294" s="19" t="n"/>
      <c r="S294" s="18">
        <f>IF(D294="","",INDEX(Guide!$B$18:$B$25,MATCH(D294,Guide!$A$18:$A$25,1)))</f>
        <v/>
      </c>
      <c r="T294" s="18">
        <f>IF(OR(C294="",P294="",Q294="",R294="",D294=""),"",ROUND(C294*Guide!$B$9+P294*Guide!$B$10+S294*Guide!$B$11+Q294*Guide!$B$12+(100-R294)*Guide!$B$13,1))</f>
        <v/>
      </c>
      <c r="U294" s="18">
        <f>IF(T294="","",IF(T294&gt;=Guide!$B$15,"PRIORITY","Low"))</f>
        <v/>
      </c>
    </row>
    <row r="295">
      <c r="A295" s="19" t="n"/>
      <c r="B295" s="19" t="n"/>
      <c r="C295" s="19" t="n"/>
      <c r="D295" s="20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21" t="n"/>
      <c r="O295" s="19" t="n"/>
      <c r="P295" s="19" t="n"/>
      <c r="Q295" s="19" t="n"/>
      <c r="R295" s="19" t="n"/>
      <c r="S295" s="18">
        <f>IF(D295="","",INDEX(Guide!$B$18:$B$25,MATCH(D295,Guide!$A$18:$A$25,1)))</f>
        <v/>
      </c>
      <c r="T295" s="18">
        <f>IF(OR(C295="",P295="",Q295="",R295="",D295=""),"",ROUND(C295*Guide!$B$9+P295*Guide!$B$10+S295*Guide!$B$11+Q295*Guide!$B$12+(100-R295)*Guide!$B$13,1))</f>
        <v/>
      </c>
      <c r="U295" s="18">
        <f>IF(T295="","",IF(T295&gt;=Guide!$B$15,"PRIORITY","Low"))</f>
        <v/>
      </c>
    </row>
    <row r="296">
      <c r="A296" s="19" t="n"/>
      <c r="B296" s="19" t="n"/>
      <c r="C296" s="19" t="n"/>
      <c r="D296" s="20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21" t="n"/>
      <c r="O296" s="19" t="n"/>
      <c r="P296" s="19" t="n"/>
      <c r="Q296" s="19" t="n"/>
      <c r="R296" s="19" t="n"/>
      <c r="S296" s="18">
        <f>IF(D296="","",INDEX(Guide!$B$18:$B$25,MATCH(D296,Guide!$A$18:$A$25,1)))</f>
        <v/>
      </c>
      <c r="T296" s="18">
        <f>IF(OR(C296="",P296="",Q296="",R296="",D296=""),"",ROUND(C296*Guide!$B$9+P296*Guide!$B$10+S296*Guide!$B$11+Q296*Guide!$B$12+(100-R296)*Guide!$B$13,1))</f>
        <v/>
      </c>
      <c r="U296" s="18">
        <f>IF(T296="","",IF(T296&gt;=Guide!$B$15,"PRIORITY","Low"))</f>
        <v/>
      </c>
    </row>
    <row r="297">
      <c r="A297" s="19" t="n"/>
      <c r="B297" s="19" t="n"/>
      <c r="C297" s="19" t="n"/>
      <c r="D297" s="20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21" t="n"/>
      <c r="O297" s="19" t="n"/>
      <c r="P297" s="19" t="n"/>
      <c r="Q297" s="19" t="n"/>
      <c r="R297" s="19" t="n"/>
      <c r="S297" s="18">
        <f>IF(D297="","",INDEX(Guide!$B$18:$B$25,MATCH(D297,Guide!$A$18:$A$25,1)))</f>
        <v/>
      </c>
      <c r="T297" s="18">
        <f>IF(OR(C297="",P297="",Q297="",R297="",D297=""),"",ROUND(C297*Guide!$B$9+P297*Guide!$B$10+S297*Guide!$B$11+Q297*Guide!$B$12+(100-R297)*Guide!$B$13,1))</f>
        <v/>
      </c>
      <c r="U297" s="18">
        <f>IF(T297="","",IF(T297&gt;=Guide!$B$15,"PRIORITY","Low"))</f>
        <v/>
      </c>
    </row>
    <row r="298">
      <c r="A298" s="19" t="n"/>
      <c r="B298" s="19" t="n"/>
      <c r="C298" s="19" t="n"/>
      <c r="D298" s="20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21" t="n"/>
      <c r="O298" s="19" t="n"/>
      <c r="P298" s="19" t="n"/>
      <c r="Q298" s="19" t="n"/>
      <c r="R298" s="19" t="n"/>
      <c r="S298" s="18">
        <f>IF(D298="","",INDEX(Guide!$B$18:$B$25,MATCH(D298,Guide!$A$18:$A$25,1)))</f>
        <v/>
      </c>
      <c r="T298" s="18">
        <f>IF(OR(C298="",P298="",Q298="",R298="",D298=""),"",ROUND(C298*Guide!$B$9+P298*Guide!$B$10+S298*Guide!$B$11+Q298*Guide!$B$12+(100-R298)*Guide!$B$13,1))</f>
        <v/>
      </c>
      <c r="U298" s="18">
        <f>IF(T298="","",IF(T298&gt;=Guide!$B$15,"PRIORITY","Low"))</f>
        <v/>
      </c>
    </row>
    <row r="299">
      <c r="A299" s="19" t="n"/>
      <c r="B299" s="19" t="n"/>
      <c r="C299" s="19" t="n"/>
      <c r="D299" s="20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21" t="n"/>
      <c r="O299" s="19" t="n"/>
      <c r="P299" s="19" t="n"/>
      <c r="Q299" s="19" t="n"/>
      <c r="R299" s="19" t="n"/>
      <c r="S299" s="18">
        <f>IF(D299="","",INDEX(Guide!$B$18:$B$25,MATCH(D299,Guide!$A$18:$A$25,1)))</f>
        <v/>
      </c>
      <c r="T299" s="18">
        <f>IF(OR(C299="",P299="",Q299="",R299="",D299=""),"",ROUND(C299*Guide!$B$9+P299*Guide!$B$10+S299*Guide!$B$11+Q299*Guide!$B$12+(100-R299)*Guide!$B$13,1))</f>
        <v/>
      </c>
      <c r="U299" s="18">
        <f>IF(T299="","",IF(T299&gt;=Guide!$B$15,"PRIORITY","Low"))</f>
        <v/>
      </c>
    </row>
    <row r="300">
      <c r="A300" s="19" t="n"/>
      <c r="B300" s="19" t="n"/>
      <c r="C300" s="19" t="n"/>
      <c r="D300" s="20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21" t="n"/>
      <c r="O300" s="19" t="n"/>
      <c r="P300" s="19" t="n"/>
      <c r="Q300" s="19" t="n"/>
      <c r="R300" s="19" t="n"/>
      <c r="S300" s="18">
        <f>IF(D300="","",INDEX(Guide!$B$18:$B$25,MATCH(D300,Guide!$A$18:$A$25,1)))</f>
        <v/>
      </c>
      <c r="T300" s="18">
        <f>IF(OR(C300="",P300="",Q300="",R300="",D300=""),"",ROUND(C300*Guide!$B$9+P300*Guide!$B$10+S300*Guide!$B$11+Q300*Guide!$B$12+(100-R300)*Guide!$B$13,1))</f>
        <v/>
      </c>
      <c r="U300" s="18">
        <f>IF(T300="","",IF(T300&gt;=Guide!$B$15,"PRIORITY","Low"))</f>
        <v/>
      </c>
    </row>
    <row r="301">
      <c r="A301" s="19" t="n"/>
      <c r="B301" s="19" t="n"/>
      <c r="C301" s="19" t="n"/>
      <c r="D301" s="20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21" t="n"/>
      <c r="O301" s="19" t="n"/>
      <c r="P301" s="19" t="n"/>
      <c r="Q301" s="19" t="n"/>
      <c r="R301" s="19" t="n"/>
      <c r="S301" s="18">
        <f>IF(D301="","",INDEX(Guide!$B$18:$B$25,MATCH(D301,Guide!$A$18:$A$25,1)))</f>
        <v/>
      </c>
      <c r="T301" s="18">
        <f>IF(OR(C301="",P301="",Q301="",R301="",D301=""),"",ROUND(C301*Guide!$B$9+P301*Guide!$B$10+S301*Guide!$B$11+Q301*Guide!$B$12+(100-R301)*Guide!$B$13,1))</f>
        <v/>
      </c>
      <c r="U301" s="18">
        <f>IF(T301="","",IF(T301&gt;=Guide!$B$15,"PRIORITY","Low"))</f>
        <v/>
      </c>
    </row>
    <row r="302">
      <c r="A302" s="19" t="n"/>
      <c r="B302" s="19" t="n"/>
      <c r="C302" s="19" t="n"/>
      <c r="D302" s="20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21" t="n"/>
      <c r="O302" s="19" t="n"/>
      <c r="P302" s="19" t="n"/>
      <c r="Q302" s="19" t="n"/>
      <c r="R302" s="19" t="n"/>
      <c r="S302" s="18">
        <f>IF(D302="","",INDEX(Guide!$B$18:$B$25,MATCH(D302,Guide!$A$18:$A$25,1)))</f>
        <v/>
      </c>
      <c r="T302" s="18">
        <f>IF(OR(C302="",P302="",Q302="",R302="",D302=""),"",ROUND(C302*Guide!$B$9+P302*Guide!$B$10+S302*Guide!$B$11+Q302*Guide!$B$12+(100-R302)*Guide!$B$13,1))</f>
        <v/>
      </c>
      <c r="U302" s="18">
        <f>IF(T302="","",IF(T302&gt;=Guide!$B$15,"PRIORITY","Low"))</f>
        <v/>
      </c>
    </row>
    <row r="303">
      <c r="A303" s="19" t="n"/>
      <c r="B303" s="19" t="n"/>
      <c r="C303" s="19" t="n"/>
      <c r="D303" s="20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21" t="n"/>
      <c r="O303" s="19" t="n"/>
      <c r="P303" s="19" t="n"/>
      <c r="Q303" s="19" t="n"/>
      <c r="R303" s="19" t="n"/>
      <c r="S303" s="18">
        <f>IF(D303="","",INDEX(Guide!$B$18:$B$25,MATCH(D303,Guide!$A$18:$A$25,1)))</f>
        <v/>
      </c>
      <c r="T303" s="18">
        <f>IF(OR(C303="",P303="",Q303="",R303="",D303=""),"",ROUND(C303*Guide!$B$9+P303*Guide!$B$10+S303*Guide!$B$11+Q303*Guide!$B$12+(100-R303)*Guide!$B$13,1))</f>
        <v/>
      </c>
      <c r="U303" s="18">
        <f>IF(T303="","",IF(T303&gt;=Guide!$B$15,"PRIORITY","Low"))</f>
        <v/>
      </c>
    </row>
    <row r="304">
      <c r="A304" s="19" t="n"/>
      <c r="B304" s="19" t="n"/>
      <c r="C304" s="19" t="n"/>
      <c r="D304" s="20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21" t="n"/>
      <c r="O304" s="19" t="n"/>
      <c r="P304" s="19" t="n"/>
      <c r="Q304" s="19" t="n"/>
      <c r="R304" s="19" t="n"/>
      <c r="S304" s="18">
        <f>IF(D304="","",INDEX(Guide!$B$18:$B$25,MATCH(D304,Guide!$A$18:$A$25,1)))</f>
        <v/>
      </c>
      <c r="T304" s="18">
        <f>IF(OR(C304="",P304="",Q304="",R304="",D304=""),"",ROUND(C304*Guide!$B$9+P304*Guide!$B$10+S304*Guide!$B$11+Q304*Guide!$B$12+(100-R304)*Guide!$B$13,1))</f>
        <v/>
      </c>
      <c r="U304" s="18">
        <f>IF(T304="","",IF(T304&gt;=Guide!$B$15,"PRIORITY","Low"))</f>
        <v/>
      </c>
    </row>
    <row r="305">
      <c r="A305" s="19" t="n"/>
      <c r="B305" s="19" t="n"/>
      <c r="C305" s="19" t="n"/>
      <c r="D305" s="20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21" t="n"/>
      <c r="O305" s="19" t="n"/>
      <c r="P305" s="19" t="n"/>
      <c r="Q305" s="19" t="n"/>
      <c r="R305" s="19" t="n"/>
      <c r="S305" s="18">
        <f>IF(D305="","",INDEX(Guide!$B$18:$B$25,MATCH(D305,Guide!$A$18:$A$25,1)))</f>
        <v/>
      </c>
      <c r="T305" s="18">
        <f>IF(OR(C305="",P305="",Q305="",R305="",D305=""),"",ROUND(C305*Guide!$B$9+P305*Guide!$B$10+S305*Guide!$B$11+Q305*Guide!$B$12+(100-R305)*Guide!$B$13,1))</f>
        <v/>
      </c>
      <c r="U305" s="18">
        <f>IF(T305="","",IF(T305&gt;=Guide!$B$15,"PRIORITY","Low"))</f>
        <v/>
      </c>
    </row>
    <row r="306">
      <c r="A306" s="19" t="n"/>
      <c r="B306" s="19" t="n"/>
      <c r="C306" s="19" t="n"/>
      <c r="D306" s="20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21" t="n"/>
      <c r="O306" s="19" t="n"/>
      <c r="P306" s="19" t="n"/>
      <c r="Q306" s="19" t="n"/>
      <c r="R306" s="19" t="n"/>
      <c r="S306" s="18">
        <f>IF(D306="","",INDEX(Guide!$B$18:$B$25,MATCH(D306,Guide!$A$18:$A$25,1)))</f>
        <v/>
      </c>
      <c r="T306" s="18">
        <f>IF(OR(C306="",P306="",Q306="",R306="",D306=""),"",ROUND(C306*Guide!$B$9+P306*Guide!$B$10+S306*Guide!$B$11+Q306*Guide!$B$12+(100-R306)*Guide!$B$13,1))</f>
        <v/>
      </c>
      <c r="U306" s="18">
        <f>IF(T306="","",IF(T306&gt;=Guide!$B$15,"PRIORITY","Low"))</f>
        <v/>
      </c>
    </row>
    <row r="307">
      <c r="A307" s="19" t="n"/>
      <c r="B307" s="19" t="n"/>
      <c r="C307" s="19" t="n"/>
      <c r="D307" s="20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21" t="n"/>
      <c r="O307" s="19" t="n"/>
      <c r="P307" s="19" t="n"/>
      <c r="Q307" s="19" t="n"/>
      <c r="R307" s="19" t="n"/>
      <c r="S307" s="18">
        <f>IF(D307="","",INDEX(Guide!$B$18:$B$25,MATCH(D307,Guide!$A$18:$A$25,1)))</f>
        <v/>
      </c>
      <c r="T307" s="18">
        <f>IF(OR(C307="",P307="",Q307="",R307="",D307=""),"",ROUND(C307*Guide!$B$9+P307*Guide!$B$10+S307*Guide!$B$11+Q307*Guide!$B$12+(100-R307)*Guide!$B$13,1))</f>
        <v/>
      </c>
      <c r="U307" s="18">
        <f>IF(T307="","",IF(T307&gt;=Guide!$B$15,"PRIORITY","Low"))</f>
        <v/>
      </c>
    </row>
    <row r="308">
      <c r="A308" s="19" t="n"/>
      <c r="B308" s="19" t="n"/>
      <c r="C308" s="19" t="n"/>
      <c r="D308" s="20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21" t="n"/>
      <c r="O308" s="19" t="n"/>
      <c r="P308" s="19" t="n"/>
      <c r="Q308" s="19" t="n"/>
      <c r="R308" s="19" t="n"/>
      <c r="S308" s="18">
        <f>IF(D308="","",INDEX(Guide!$B$18:$B$25,MATCH(D308,Guide!$A$18:$A$25,1)))</f>
        <v/>
      </c>
      <c r="T308" s="18">
        <f>IF(OR(C308="",P308="",Q308="",R308="",D308=""),"",ROUND(C308*Guide!$B$9+P308*Guide!$B$10+S308*Guide!$B$11+Q308*Guide!$B$12+(100-R308)*Guide!$B$13,1))</f>
        <v/>
      </c>
      <c r="U308" s="18">
        <f>IF(T308="","",IF(T308&gt;=Guide!$B$15,"PRIORITY","Low"))</f>
        <v/>
      </c>
    </row>
    <row r="309">
      <c r="A309" s="19" t="n"/>
      <c r="B309" s="19" t="n"/>
      <c r="C309" s="19" t="n"/>
      <c r="D309" s="20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21" t="n"/>
      <c r="O309" s="19" t="n"/>
      <c r="P309" s="19" t="n"/>
      <c r="Q309" s="19" t="n"/>
      <c r="R309" s="19" t="n"/>
      <c r="S309" s="18">
        <f>IF(D309="","",INDEX(Guide!$B$18:$B$25,MATCH(D309,Guide!$A$18:$A$25,1)))</f>
        <v/>
      </c>
      <c r="T309" s="18">
        <f>IF(OR(C309="",P309="",Q309="",R309="",D309=""),"",ROUND(C309*Guide!$B$9+P309*Guide!$B$10+S309*Guide!$B$11+Q309*Guide!$B$12+(100-R309)*Guide!$B$13,1))</f>
        <v/>
      </c>
      <c r="U309" s="18">
        <f>IF(T309="","",IF(T309&gt;=Guide!$B$15,"PRIORITY","Low"))</f>
        <v/>
      </c>
    </row>
    <row r="310">
      <c r="A310" s="19" t="n"/>
      <c r="B310" s="19" t="n"/>
      <c r="C310" s="19" t="n"/>
      <c r="D310" s="20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21" t="n"/>
      <c r="O310" s="19" t="n"/>
      <c r="P310" s="19" t="n"/>
      <c r="Q310" s="19" t="n"/>
      <c r="R310" s="19" t="n"/>
      <c r="S310" s="18">
        <f>IF(D310="","",INDEX(Guide!$B$18:$B$25,MATCH(D310,Guide!$A$18:$A$25,1)))</f>
        <v/>
      </c>
      <c r="T310" s="18">
        <f>IF(OR(C310="",P310="",Q310="",R310="",D310=""),"",ROUND(C310*Guide!$B$9+P310*Guide!$B$10+S310*Guide!$B$11+Q310*Guide!$B$12+(100-R310)*Guide!$B$13,1))</f>
        <v/>
      </c>
      <c r="U310" s="18">
        <f>IF(T310="","",IF(T310&gt;=Guide!$B$15,"PRIORITY","Low"))</f>
        <v/>
      </c>
    </row>
    <row r="311">
      <c r="A311" s="19" t="n"/>
      <c r="B311" s="19" t="n"/>
      <c r="C311" s="19" t="n"/>
      <c r="D311" s="20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21" t="n"/>
      <c r="O311" s="19" t="n"/>
      <c r="P311" s="19" t="n"/>
      <c r="Q311" s="19" t="n"/>
      <c r="R311" s="19" t="n"/>
      <c r="S311" s="18">
        <f>IF(D311="","",INDEX(Guide!$B$18:$B$25,MATCH(D311,Guide!$A$18:$A$25,1)))</f>
        <v/>
      </c>
      <c r="T311" s="18">
        <f>IF(OR(C311="",P311="",Q311="",R311="",D311=""),"",ROUND(C311*Guide!$B$9+P311*Guide!$B$10+S311*Guide!$B$11+Q311*Guide!$B$12+(100-R311)*Guide!$B$13,1))</f>
        <v/>
      </c>
      <c r="U311" s="18">
        <f>IF(T311="","",IF(T311&gt;=Guide!$B$15,"PRIORITY","Low"))</f>
        <v/>
      </c>
    </row>
    <row r="312">
      <c r="A312" s="19" t="n"/>
      <c r="B312" s="19" t="n"/>
      <c r="C312" s="19" t="n"/>
      <c r="D312" s="20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21" t="n"/>
      <c r="O312" s="19" t="n"/>
      <c r="P312" s="19" t="n"/>
      <c r="Q312" s="19" t="n"/>
      <c r="R312" s="19" t="n"/>
      <c r="S312" s="18">
        <f>IF(D312="","",INDEX(Guide!$B$18:$B$25,MATCH(D312,Guide!$A$18:$A$25,1)))</f>
        <v/>
      </c>
      <c r="T312" s="18">
        <f>IF(OR(C312="",P312="",Q312="",R312="",D312=""),"",ROUND(C312*Guide!$B$9+P312*Guide!$B$10+S312*Guide!$B$11+Q312*Guide!$B$12+(100-R312)*Guide!$B$13,1))</f>
        <v/>
      </c>
      <c r="U312" s="18">
        <f>IF(T312="","",IF(T312&gt;=Guide!$B$15,"PRIORITY","Low"))</f>
        <v/>
      </c>
    </row>
    <row r="313">
      <c r="A313" s="19" t="n"/>
      <c r="B313" s="19" t="n"/>
      <c r="C313" s="19" t="n"/>
      <c r="D313" s="20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21" t="n"/>
      <c r="O313" s="19" t="n"/>
      <c r="P313" s="19" t="n"/>
      <c r="Q313" s="19" t="n"/>
      <c r="R313" s="19" t="n"/>
      <c r="S313" s="18">
        <f>IF(D313="","",INDEX(Guide!$B$18:$B$25,MATCH(D313,Guide!$A$18:$A$25,1)))</f>
        <v/>
      </c>
      <c r="T313" s="18">
        <f>IF(OR(C313="",P313="",Q313="",R313="",D313=""),"",ROUND(C313*Guide!$B$9+P313*Guide!$B$10+S313*Guide!$B$11+Q313*Guide!$B$12+(100-R313)*Guide!$B$13,1))</f>
        <v/>
      </c>
      <c r="U313" s="18">
        <f>IF(T313="","",IF(T313&gt;=Guide!$B$15,"PRIORITY","Low"))</f>
        <v/>
      </c>
    </row>
    <row r="314">
      <c r="A314" s="19" t="n"/>
      <c r="B314" s="19" t="n"/>
      <c r="C314" s="19" t="n"/>
      <c r="D314" s="20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21" t="n"/>
      <c r="O314" s="19" t="n"/>
      <c r="P314" s="19" t="n"/>
      <c r="Q314" s="19" t="n"/>
      <c r="R314" s="19" t="n"/>
      <c r="S314" s="18">
        <f>IF(D314="","",INDEX(Guide!$B$18:$B$25,MATCH(D314,Guide!$A$18:$A$25,1)))</f>
        <v/>
      </c>
      <c r="T314" s="18">
        <f>IF(OR(C314="",P314="",Q314="",R314="",D314=""),"",ROUND(C314*Guide!$B$9+P314*Guide!$B$10+S314*Guide!$B$11+Q314*Guide!$B$12+(100-R314)*Guide!$B$13,1))</f>
        <v/>
      </c>
      <c r="U314" s="18">
        <f>IF(T314="","",IF(T314&gt;=Guide!$B$15,"PRIORITY","Low"))</f>
        <v/>
      </c>
    </row>
    <row r="315">
      <c r="A315" s="19" t="n"/>
      <c r="B315" s="19" t="n"/>
      <c r="C315" s="19" t="n"/>
      <c r="D315" s="20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21" t="n"/>
      <c r="O315" s="19" t="n"/>
      <c r="P315" s="19" t="n"/>
      <c r="Q315" s="19" t="n"/>
      <c r="R315" s="19" t="n"/>
      <c r="S315" s="18">
        <f>IF(D315="","",INDEX(Guide!$B$18:$B$25,MATCH(D315,Guide!$A$18:$A$25,1)))</f>
        <v/>
      </c>
      <c r="T315" s="18">
        <f>IF(OR(C315="",P315="",Q315="",R315="",D315=""),"",ROUND(C315*Guide!$B$9+P315*Guide!$B$10+S315*Guide!$B$11+Q315*Guide!$B$12+(100-R315)*Guide!$B$13,1))</f>
        <v/>
      </c>
      <c r="U315" s="18">
        <f>IF(T315="","",IF(T315&gt;=Guide!$B$15,"PRIORITY","Low"))</f>
        <v/>
      </c>
    </row>
    <row r="316">
      <c r="A316" s="19" t="n"/>
      <c r="B316" s="19" t="n"/>
      <c r="C316" s="19" t="n"/>
      <c r="D316" s="20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21" t="n"/>
      <c r="O316" s="19" t="n"/>
      <c r="P316" s="19" t="n"/>
      <c r="Q316" s="19" t="n"/>
      <c r="R316" s="19" t="n"/>
      <c r="S316" s="18">
        <f>IF(D316="","",INDEX(Guide!$B$18:$B$25,MATCH(D316,Guide!$A$18:$A$25,1)))</f>
        <v/>
      </c>
      <c r="T316" s="18">
        <f>IF(OR(C316="",P316="",Q316="",R316="",D316=""),"",ROUND(C316*Guide!$B$9+P316*Guide!$B$10+S316*Guide!$B$11+Q316*Guide!$B$12+(100-R316)*Guide!$B$13,1))</f>
        <v/>
      </c>
      <c r="U316" s="18">
        <f>IF(T316="","",IF(T316&gt;=Guide!$B$15,"PRIORITY","Low"))</f>
        <v/>
      </c>
    </row>
    <row r="317">
      <c r="A317" s="19" t="n"/>
      <c r="B317" s="19" t="n"/>
      <c r="C317" s="19" t="n"/>
      <c r="D317" s="20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21" t="n"/>
      <c r="O317" s="19" t="n"/>
      <c r="P317" s="19" t="n"/>
      <c r="Q317" s="19" t="n"/>
      <c r="R317" s="19" t="n"/>
      <c r="S317" s="18">
        <f>IF(D317="","",INDEX(Guide!$B$18:$B$25,MATCH(D317,Guide!$A$18:$A$25,1)))</f>
        <v/>
      </c>
      <c r="T317" s="18">
        <f>IF(OR(C317="",P317="",Q317="",R317="",D317=""),"",ROUND(C317*Guide!$B$9+P317*Guide!$B$10+S317*Guide!$B$11+Q317*Guide!$B$12+(100-R317)*Guide!$B$13,1))</f>
        <v/>
      </c>
      <c r="U317" s="18">
        <f>IF(T317="","",IF(T317&gt;=Guide!$B$15,"PRIORITY","Low"))</f>
        <v/>
      </c>
    </row>
    <row r="318">
      <c r="A318" s="19" t="n"/>
      <c r="B318" s="19" t="n"/>
      <c r="C318" s="19" t="n"/>
      <c r="D318" s="20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21" t="n"/>
      <c r="O318" s="19" t="n"/>
      <c r="P318" s="19" t="n"/>
      <c r="Q318" s="19" t="n"/>
      <c r="R318" s="19" t="n"/>
      <c r="S318" s="18">
        <f>IF(D318="","",INDEX(Guide!$B$18:$B$25,MATCH(D318,Guide!$A$18:$A$25,1)))</f>
        <v/>
      </c>
      <c r="T318" s="18">
        <f>IF(OR(C318="",P318="",Q318="",R318="",D318=""),"",ROUND(C318*Guide!$B$9+P318*Guide!$B$10+S318*Guide!$B$11+Q318*Guide!$B$12+(100-R318)*Guide!$B$13,1))</f>
        <v/>
      </c>
      <c r="U318" s="18">
        <f>IF(T318="","",IF(T318&gt;=Guide!$B$15,"PRIORITY","Low"))</f>
        <v/>
      </c>
    </row>
    <row r="319">
      <c r="A319" s="19" t="n"/>
      <c r="B319" s="19" t="n"/>
      <c r="C319" s="19" t="n"/>
      <c r="D319" s="20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21" t="n"/>
      <c r="O319" s="19" t="n"/>
      <c r="P319" s="19" t="n"/>
      <c r="Q319" s="19" t="n"/>
      <c r="R319" s="19" t="n"/>
      <c r="S319" s="18">
        <f>IF(D319="","",INDEX(Guide!$B$18:$B$25,MATCH(D319,Guide!$A$18:$A$25,1)))</f>
        <v/>
      </c>
      <c r="T319" s="18">
        <f>IF(OR(C319="",P319="",Q319="",R319="",D319=""),"",ROUND(C319*Guide!$B$9+P319*Guide!$B$10+S319*Guide!$B$11+Q319*Guide!$B$12+(100-R319)*Guide!$B$13,1))</f>
        <v/>
      </c>
      <c r="U319" s="18">
        <f>IF(T319="","",IF(T319&gt;=Guide!$B$15,"PRIORITY","Low"))</f>
        <v/>
      </c>
    </row>
    <row r="320">
      <c r="A320" s="19" t="n"/>
      <c r="B320" s="19" t="n"/>
      <c r="C320" s="19" t="n"/>
      <c r="D320" s="20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21" t="n"/>
      <c r="O320" s="19" t="n"/>
      <c r="P320" s="19" t="n"/>
      <c r="Q320" s="19" t="n"/>
      <c r="R320" s="19" t="n"/>
      <c r="S320" s="18">
        <f>IF(D320="","",INDEX(Guide!$B$18:$B$25,MATCH(D320,Guide!$A$18:$A$25,1)))</f>
        <v/>
      </c>
      <c r="T320" s="18">
        <f>IF(OR(C320="",P320="",Q320="",R320="",D320=""),"",ROUND(C320*Guide!$B$9+P320*Guide!$B$10+S320*Guide!$B$11+Q320*Guide!$B$12+(100-R320)*Guide!$B$13,1))</f>
        <v/>
      </c>
      <c r="U320" s="18">
        <f>IF(T320="","",IF(T320&gt;=Guide!$B$15,"PRIORITY","Low"))</f>
        <v/>
      </c>
    </row>
    <row r="321">
      <c r="A321" s="19" t="n"/>
      <c r="B321" s="19" t="n"/>
      <c r="C321" s="19" t="n"/>
      <c r="D321" s="20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21" t="n"/>
      <c r="O321" s="19" t="n"/>
      <c r="P321" s="19" t="n"/>
      <c r="Q321" s="19" t="n"/>
      <c r="R321" s="19" t="n"/>
      <c r="S321" s="18">
        <f>IF(D321="","",INDEX(Guide!$B$18:$B$25,MATCH(D321,Guide!$A$18:$A$25,1)))</f>
        <v/>
      </c>
      <c r="T321" s="18">
        <f>IF(OR(C321="",P321="",Q321="",R321="",D321=""),"",ROUND(C321*Guide!$B$9+P321*Guide!$B$10+S321*Guide!$B$11+Q321*Guide!$B$12+(100-R321)*Guide!$B$13,1))</f>
        <v/>
      </c>
      <c r="U321" s="18">
        <f>IF(T321="","",IF(T321&gt;=Guide!$B$15,"PRIORITY","Low"))</f>
        <v/>
      </c>
    </row>
    <row r="322">
      <c r="A322" s="19" t="n"/>
      <c r="B322" s="19" t="n"/>
      <c r="C322" s="19" t="n"/>
      <c r="D322" s="20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21" t="n"/>
      <c r="O322" s="19" t="n"/>
      <c r="P322" s="19" t="n"/>
      <c r="Q322" s="19" t="n"/>
      <c r="R322" s="19" t="n"/>
      <c r="S322" s="18">
        <f>IF(D322="","",INDEX(Guide!$B$18:$B$25,MATCH(D322,Guide!$A$18:$A$25,1)))</f>
        <v/>
      </c>
      <c r="T322" s="18">
        <f>IF(OR(C322="",P322="",Q322="",R322="",D322=""),"",ROUND(C322*Guide!$B$9+P322*Guide!$B$10+S322*Guide!$B$11+Q322*Guide!$B$12+(100-R322)*Guide!$B$13,1))</f>
        <v/>
      </c>
      <c r="U322" s="18">
        <f>IF(T322="","",IF(T322&gt;=Guide!$B$15,"PRIORITY","Low"))</f>
        <v/>
      </c>
    </row>
    <row r="323">
      <c r="A323" s="19" t="n"/>
      <c r="B323" s="19" t="n"/>
      <c r="C323" s="19" t="n"/>
      <c r="D323" s="20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21" t="n"/>
      <c r="O323" s="19" t="n"/>
      <c r="P323" s="19" t="n"/>
      <c r="Q323" s="19" t="n"/>
      <c r="R323" s="19" t="n"/>
      <c r="S323" s="18">
        <f>IF(D323="","",INDEX(Guide!$B$18:$B$25,MATCH(D323,Guide!$A$18:$A$25,1)))</f>
        <v/>
      </c>
      <c r="T323" s="18">
        <f>IF(OR(C323="",P323="",Q323="",R323="",D323=""),"",ROUND(C323*Guide!$B$9+P323*Guide!$B$10+S323*Guide!$B$11+Q323*Guide!$B$12+(100-R323)*Guide!$B$13,1))</f>
        <v/>
      </c>
      <c r="U323" s="18">
        <f>IF(T323="","",IF(T323&gt;=Guide!$B$15,"PRIORITY","Low"))</f>
        <v/>
      </c>
    </row>
    <row r="324">
      <c r="A324" s="19" t="n"/>
      <c r="B324" s="19" t="n"/>
      <c r="C324" s="19" t="n"/>
      <c r="D324" s="20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21" t="n"/>
      <c r="O324" s="19" t="n"/>
      <c r="P324" s="19" t="n"/>
      <c r="Q324" s="19" t="n"/>
      <c r="R324" s="19" t="n"/>
      <c r="S324" s="18">
        <f>IF(D324="","",INDEX(Guide!$B$18:$B$25,MATCH(D324,Guide!$A$18:$A$25,1)))</f>
        <v/>
      </c>
      <c r="T324" s="18">
        <f>IF(OR(C324="",P324="",Q324="",R324="",D324=""),"",ROUND(C324*Guide!$B$9+P324*Guide!$B$10+S324*Guide!$B$11+Q324*Guide!$B$12+(100-R324)*Guide!$B$13,1))</f>
        <v/>
      </c>
      <c r="U324" s="18">
        <f>IF(T324="","",IF(T324&gt;=Guide!$B$15,"PRIORITY","Low"))</f>
        <v/>
      </c>
    </row>
    <row r="325">
      <c r="A325" s="19" t="n"/>
      <c r="B325" s="19" t="n"/>
      <c r="C325" s="19" t="n"/>
      <c r="D325" s="20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21" t="n"/>
      <c r="O325" s="19" t="n"/>
      <c r="P325" s="19" t="n"/>
      <c r="Q325" s="19" t="n"/>
      <c r="R325" s="19" t="n"/>
      <c r="S325" s="18">
        <f>IF(D325="","",INDEX(Guide!$B$18:$B$25,MATCH(D325,Guide!$A$18:$A$25,1)))</f>
        <v/>
      </c>
      <c r="T325" s="18">
        <f>IF(OR(C325="",P325="",Q325="",R325="",D325=""),"",ROUND(C325*Guide!$B$9+P325*Guide!$B$10+S325*Guide!$B$11+Q325*Guide!$B$12+(100-R325)*Guide!$B$13,1))</f>
        <v/>
      </c>
      <c r="U325" s="18">
        <f>IF(T325="","",IF(T325&gt;=Guide!$B$15,"PRIORITY","Low"))</f>
        <v/>
      </c>
    </row>
    <row r="326">
      <c r="A326" s="19" t="n"/>
      <c r="B326" s="19" t="n"/>
      <c r="C326" s="19" t="n"/>
      <c r="D326" s="20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21" t="n"/>
      <c r="O326" s="19" t="n"/>
      <c r="P326" s="19" t="n"/>
      <c r="Q326" s="19" t="n"/>
      <c r="R326" s="19" t="n"/>
      <c r="S326" s="18">
        <f>IF(D326="","",INDEX(Guide!$B$18:$B$25,MATCH(D326,Guide!$A$18:$A$25,1)))</f>
        <v/>
      </c>
      <c r="T326" s="18">
        <f>IF(OR(C326="",P326="",Q326="",R326="",D326=""),"",ROUND(C326*Guide!$B$9+P326*Guide!$B$10+S326*Guide!$B$11+Q326*Guide!$B$12+(100-R326)*Guide!$B$13,1))</f>
        <v/>
      </c>
      <c r="U326" s="18">
        <f>IF(T326="","",IF(T326&gt;=Guide!$B$15,"PRIORITY","Low"))</f>
        <v/>
      </c>
    </row>
    <row r="327">
      <c r="A327" s="19" t="n"/>
      <c r="B327" s="19" t="n"/>
      <c r="C327" s="19" t="n"/>
      <c r="D327" s="20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21" t="n"/>
      <c r="O327" s="19" t="n"/>
      <c r="P327" s="19" t="n"/>
      <c r="Q327" s="19" t="n"/>
      <c r="R327" s="19" t="n"/>
      <c r="S327" s="18">
        <f>IF(D327="","",INDEX(Guide!$B$18:$B$25,MATCH(D327,Guide!$A$18:$A$25,1)))</f>
        <v/>
      </c>
      <c r="T327" s="18">
        <f>IF(OR(C327="",P327="",Q327="",R327="",D327=""),"",ROUND(C327*Guide!$B$9+P327*Guide!$B$10+S327*Guide!$B$11+Q327*Guide!$B$12+(100-R327)*Guide!$B$13,1))</f>
        <v/>
      </c>
      <c r="U327" s="18">
        <f>IF(T327="","",IF(T327&gt;=Guide!$B$15,"PRIORITY","Low"))</f>
        <v/>
      </c>
    </row>
    <row r="328">
      <c r="A328" s="19" t="n"/>
      <c r="B328" s="19" t="n"/>
      <c r="C328" s="19" t="n"/>
      <c r="D328" s="20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21" t="n"/>
      <c r="O328" s="19" t="n"/>
      <c r="P328" s="19" t="n"/>
      <c r="Q328" s="19" t="n"/>
      <c r="R328" s="19" t="n"/>
      <c r="S328" s="18">
        <f>IF(D328="","",INDEX(Guide!$B$18:$B$25,MATCH(D328,Guide!$A$18:$A$25,1)))</f>
        <v/>
      </c>
      <c r="T328" s="18">
        <f>IF(OR(C328="",P328="",Q328="",R328="",D328=""),"",ROUND(C328*Guide!$B$9+P328*Guide!$B$10+S328*Guide!$B$11+Q328*Guide!$B$12+(100-R328)*Guide!$B$13,1))</f>
        <v/>
      </c>
      <c r="U328" s="18">
        <f>IF(T328="","",IF(T328&gt;=Guide!$B$15,"PRIORITY","Low"))</f>
        <v/>
      </c>
    </row>
    <row r="329">
      <c r="A329" s="19" t="n"/>
      <c r="B329" s="19" t="n"/>
      <c r="C329" s="19" t="n"/>
      <c r="D329" s="20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21" t="n"/>
      <c r="O329" s="19" t="n"/>
      <c r="P329" s="19" t="n"/>
      <c r="Q329" s="19" t="n"/>
      <c r="R329" s="19" t="n"/>
      <c r="S329" s="18">
        <f>IF(D329="","",INDEX(Guide!$B$18:$B$25,MATCH(D329,Guide!$A$18:$A$25,1)))</f>
        <v/>
      </c>
      <c r="T329" s="18">
        <f>IF(OR(C329="",P329="",Q329="",R329="",D329=""),"",ROUND(C329*Guide!$B$9+P329*Guide!$B$10+S329*Guide!$B$11+Q329*Guide!$B$12+(100-R329)*Guide!$B$13,1))</f>
        <v/>
      </c>
      <c r="U329" s="18">
        <f>IF(T329="","",IF(T329&gt;=Guide!$B$15,"PRIORITY","Low"))</f>
        <v/>
      </c>
    </row>
    <row r="330">
      <c r="A330" s="19" t="n"/>
      <c r="B330" s="19" t="n"/>
      <c r="C330" s="19" t="n"/>
      <c r="D330" s="20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21" t="n"/>
      <c r="O330" s="19" t="n"/>
      <c r="P330" s="19" t="n"/>
      <c r="Q330" s="19" t="n"/>
      <c r="R330" s="19" t="n"/>
      <c r="S330" s="18">
        <f>IF(D330="","",INDEX(Guide!$B$18:$B$25,MATCH(D330,Guide!$A$18:$A$25,1)))</f>
        <v/>
      </c>
      <c r="T330" s="18">
        <f>IF(OR(C330="",P330="",Q330="",R330="",D330=""),"",ROUND(C330*Guide!$B$9+P330*Guide!$B$10+S330*Guide!$B$11+Q330*Guide!$B$12+(100-R330)*Guide!$B$13,1))</f>
        <v/>
      </c>
      <c r="U330" s="18">
        <f>IF(T330="","",IF(T330&gt;=Guide!$B$15,"PRIORITY","Low"))</f>
        <v/>
      </c>
    </row>
    <row r="331">
      <c r="A331" s="19" t="n"/>
      <c r="B331" s="19" t="n"/>
      <c r="C331" s="19" t="n"/>
      <c r="D331" s="20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21" t="n"/>
      <c r="O331" s="19" t="n"/>
      <c r="P331" s="19" t="n"/>
      <c r="Q331" s="19" t="n"/>
      <c r="R331" s="19" t="n"/>
      <c r="S331" s="18">
        <f>IF(D331="","",INDEX(Guide!$B$18:$B$25,MATCH(D331,Guide!$A$18:$A$25,1)))</f>
        <v/>
      </c>
      <c r="T331" s="18">
        <f>IF(OR(C331="",P331="",Q331="",R331="",D331=""),"",ROUND(C331*Guide!$B$9+P331*Guide!$B$10+S331*Guide!$B$11+Q331*Guide!$B$12+(100-R331)*Guide!$B$13,1))</f>
        <v/>
      </c>
      <c r="U331" s="18">
        <f>IF(T331="","",IF(T331&gt;=Guide!$B$15,"PRIORITY","Low"))</f>
        <v/>
      </c>
    </row>
    <row r="332">
      <c r="A332" s="19" t="n"/>
      <c r="B332" s="19" t="n"/>
      <c r="C332" s="19" t="n"/>
      <c r="D332" s="20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21" t="n"/>
      <c r="O332" s="19" t="n"/>
      <c r="P332" s="19" t="n"/>
      <c r="Q332" s="19" t="n"/>
      <c r="R332" s="19" t="n"/>
      <c r="S332" s="18">
        <f>IF(D332="","",INDEX(Guide!$B$18:$B$25,MATCH(D332,Guide!$A$18:$A$25,1)))</f>
        <v/>
      </c>
      <c r="T332" s="18">
        <f>IF(OR(C332="",P332="",Q332="",R332="",D332=""),"",ROUND(C332*Guide!$B$9+P332*Guide!$B$10+S332*Guide!$B$11+Q332*Guide!$B$12+(100-R332)*Guide!$B$13,1))</f>
        <v/>
      </c>
      <c r="U332" s="18">
        <f>IF(T332="","",IF(T332&gt;=Guide!$B$15,"PRIORITY","Low"))</f>
        <v/>
      </c>
    </row>
    <row r="333">
      <c r="A333" s="19" t="n"/>
      <c r="B333" s="19" t="n"/>
      <c r="C333" s="19" t="n"/>
      <c r="D333" s="20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21" t="n"/>
      <c r="O333" s="19" t="n"/>
      <c r="P333" s="19" t="n"/>
      <c r="Q333" s="19" t="n"/>
      <c r="R333" s="19" t="n"/>
      <c r="S333" s="18">
        <f>IF(D333="","",INDEX(Guide!$B$18:$B$25,MATCH(D333,Guide!$A$18:$A$25,1)))</f>
        <v/>
      </c>
      <c r="T333" s="18">
        <f>IF(OR(C333="",P333="",Q333="",R333="",D333=""),"",ROUND(C333*Guide!$B$9+P333*Guide!$B$10+S333*Guide!$B$11+Q333*Guide!$B$12+(100-R333)*Guide!$B$13,1))</f>
        <v/>
      </c>
      <c r="U333" s="18">
        <f>IF(T333="","",IF(T333&gt;=Guide!$B$15,"PRIORITY","Low"))</f>
        <v/>
      </c>
    </row>
    <row r="334">
      <c r="A334" s="19" t="n"/>
      <c r="B334" s="19" t="n"/>
      <c r="C334" s="19" t="n"/>
      <c r="D334" s="20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21" t="n"/>
      <c r="O334" s="19" t="n"/>
      <c r="P334" s="19" t="n"/>
      <c r="Q334" s="19" t="n"/>
      <c r="R334" s="19" t="n"/>
      <c r="S334" s="18">
        <f>IF(D334="","",INDEX(Guide!$B$18:$B$25,MATCH(D334,Guide!$A$18:$A$25,1)))</f>
        <v/>
      </c>
      <c r="T334" s="18">
        <f>IF(OR(C334="",P334="",Q334="",R334="",D334=""),"",ROUND(C334*Guide!$B$9+P334*Guide!$B$10+S334*Guide!$B$11+Q334*Guide!$B$12+(100-R334)*Guide!$B$13,1))</f>
        <v/>
      </c>
      <c r="U334" s="18">
        <f>IF(T334="","",IF(T334&gt;=Guide!$B$15,"PRIORITY","Low"))</f>
        <v/>
      </c>
    </row>
    <row r="335">
      <c r="A335" s="19" t="n"/>
      <c r="B335" s="19" t="n"/>
      <c r="C335" s="19" t="n"/>
      <c r="D335" s="20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21" t="n"/>
      <c r="O335" s="19" t="n"/>
      <c r="P335" s="19" t="n"/>
      <c r="Q335" s="19" t="n"/>
      <c r="R335" s="19" t="n"/>
      <c r="S335" s="18">
        <f>IF(D335="","",INDEX(Guide!$B$18:$B$25,MATCH(D335,Guide!$A$18:$A$25,1)))</f>
        <v/>
      </c>
      <c r="T335" s="18">
        <f>IF(OR(C335="",P335="",Q335="",R335="",D335=""),"",ROUND(C335*Guide!$B$9+P335*Guide!$B$10+S335*Guide!$B$11+Q335*Guide!$B$12+(100-R335)*Guide!$B$13,1))</f>
        <v/>
      </c>
      <c r="U335" s="18">
        <f>IF(T335="","",IF(T335&gt;=Guide!$B$15,"PRIORITY","Low"))</f>
        <v/>
      </c>
    </row>
    <row r="336">
      <c r="A336" s="19" t="n"/>
      <c r="B336" s="19" t="n"/>
      <c r="C336" s="19" t="n"/>
      <c r="D336" s="20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21" t="n"/>
      <c r="O336" s="19" t="n"/>
      <c r="P336" s="19" t="n"/>
      <c r="Q336" s="19" t="n"/>
      <c r="R336" s="19" t="n"/>
      <c r="S336" s="18">
        <f>IF(D336="","",INDEX(Guide!$B$18:$B$25,MATCH(D336,Guide!$A$18:$A$25,1)))</f>
        <v/>
      </c>
      <c r="T336" s="18">
        <f>IF(OR(C336="",P336="",Q336="",R336="",D336=""),"",ROUND(C336*Guide!$B$9+P336*Guide!$B$10+S336*Guide!$B$11+Q336*Guide!$B$12+(100-R336)*Guide!$B$13,1))</f>
        <v/>
      </c>
      <c r="U336" s="18">
        <f>IF(T336="","",IF(T336&gt;=Guide!$B$15,"PRIORITY","Low"))</f>
        <v/>
      </c>
    </row>
    <row r="337">
      <c r="A337" s="19" t="n"/>
      <c r="B337" s="19" t="n"/>
      <c r="C337" s="19" t="n"/>
      <c r="D337" s="20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21" t="n"/>
      <c r="O337" s="19" t="n"/>
      <c r="P337" s="19" t="n"/>
      <c r="Q337" s="19" t="n"/>
      <c r="R337" s="19" t="n"/>
      <c r="S337" s="18">
        <f>IF(D337="","",INDEX(Guide!$B$18:$B$25,MATCH(D337,Guide!$A$18:$A$25,1)))</f>
        <v/>
      </c>
      <c r="T337" s="18">
        <f>IF(OR(C337="",P337="",Q337="",R337="",D337=""),"",ROUND(C337*Guide!$B$9+P337*Guide!$B$10+S337*Guide!$B$11+Q337*Guide!$B$12+(100-R337)*Guide!$B$13,1))</f>
        <v/>
      </c>
      <c r="U337" s="18">
        <f>IF(T337="","",IF(T337&gt;=Guide!$B$15,"PRIORITY","Low"))</f>
        <v/>
      </c>
    </row>
    <row r="338">
      <c r="A338" s="19" t="n"/>
      <c r="B338" s="19" t="n"/>
      <c r="C338" s="19" t="n"/>
      <c r="D338" s="20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21" t="n"/>
      <c r="O338" s="19" t="n"/>
      <c r="P338" s="19" t="n"/>
      <c r="Q338" s="19" t="n"/>
      <c r="R338" s="19" t="n"/>
      <c r="S338" s="18">
        <f>IF(D338="","",INDEX(Guide!$B$18:$B$25,MATCH(D338,Guide!$A$18:$A$25,1)))</f>
        <v/>
      </c>
      <c r="T338" s="18">
        <f>IF(OR(C338="",P338="",Q338="",R338="",D338=""),"",ROUND(C338*Guide!$B$9+P338*Guide!$B$10+S338*Guide!$B$11+Q338*Guide!$B$12+(100-R338)*Guide!$B$13,1))</f>
        <v/>
      </c>
      <c r="U338" s="18">
        <f>IF(T338="","",IF(T338&gt;=Guide!$B$15,"PRIORITY","Low"))</f>
        <v/>
      </c>
    </row>
    <row r="339">
      <c r="A339" s="19" t="n"/>
      <c r="B339" s="19" t="n"/>
      <c r="C339" s="19" t="n"/>
      <c r="D339" s="20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21" t="n"/>
      <c r="O339" s="19" t="n"/>
      <c r="P339" s="19" t="n"/>
      <c r="Q339" s="19" t="n"/>
      <c r="R339" s="19" t="n"/>
      <c r="S339" s="18">
        <f>IF(D339="","",INDEX(Guide!$B$18:$B$25,MATCH(D339,Guide!$A$18:$A$25,1)))</f>
        <v/>
      </c>
      <c r="T339" s="18">
        <f>IF(OR(C339="",P339="",Q339="",R339="",D339=""),"",ROUND(C339*Guide!$B$9+P339*Guide!$B$10+S339*Guide!$B$11+Q339*Guide!$B$12+(100-R339)*Guide!$B$13,1))</f>
        <v/>
      </c>
      <c r="U339" s="18">
        <f>IF(T339="","",IF(T339&gt;=Guide!$B$15,"PRIORITY","Low"))</f>
        <v/>
      </c>
    </row>
    <row r="340">
      <c r="A340" s="19" t="n"/>
      <c r="B340" s="19" t="n"/>
      <c r="C340" s="19" t="n"/>
      <c r="D340" s="20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21" t="n"/>
      <c r="O340" s="19" t="n"/>
      <c r="P340" s="19" t="n"/>
      <c r="Q340" s="19" t="n"/>
      <c r="R340" s="19" t="n"/>
      <c r="S340" s="18">
        <f>IF(D340="","",INDEX(Guide!$B$18:$B$25,MATCH(D340,Guide!$A$18:$A$25,1)))</f>
        <v/>
      </c>
      <c r="T340" s="18">
        <f>IF(OR(C340="",P340="",Q340="",R340="",D340=""),"",ROUND(C340*Guide!$B$9+P340*Guide!$B$10+S340*Guide!$B$11+Q340*Guide!$B$12+(100-R340)*Guide!$B$13,1))</f>
        <v/>
      </c>
      <c r="U340" s="18">
        <f>IF(T340="","",IF(T340&gt;=Guide!$B$15,"PRIORITY","Low"))</f>
        <v/>
      </c>
    </row>
    <row r="341">
      <c r="A341" s="19" t="n"/>
      <c r="B341" s="19" t="n"/>
      <c r="C341" s="19" t="n"/>
      <c r="D341" s="20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21" t="n"/>
      <c r="O341" s="19" t="n"/>
      <c r="P341" s="19" t="n"/>
      <c r="Q341" s="19" t="n"/>
      <c r="R341" s="19" t="n"/>
      <c r="S341" s="18">
        <f>IF(D341="","",INDEX(Guide!$B$18:$B$25,MATCH(D341,Guide!$A$18:$A$25,1)))</f>
        <v/>
      </c>
      <c r="T341" s="18">
        <f>IF(OR(C341="",P341="",Q341="",R341="",D341=""),"",ROUND(C341*Guide!$B$9+P341*Guide!$B$10+S341*Guide!$B$11+Q341*Guide!$B$12+(100-R341)*Guide!$B$13,1))</f>
        <v/>
      </c>
      <c r="U341" s="18">
        <f>IF(T341="","",IF(T341&gt;=Guide!$B$15,"PRIORITY","Low"))</f>
        <v/>
      </c>
    </row>
    <row r="342">
      <c r="A342" s="19" t="n"/>
      <c r="B342" s="19" t="n"/>
      <c r="C342" s="19" t="n"/>
      <c r="D342" s="20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21" t="n"/>
      <c r="O342" s="19" t="n"/>
      <c r="P342" s="19" t="n"/>
      <c r="Q342" s="19" t="n"/>
      <c r="R342" s="19" t="n"/>
      <c r="S342" s="18">
        <f>IF(D342="","",INDEX(Guide!$B$18:$B$25,MATCH(D342,Guide!$A$18:$A$25,1)))</f>
        <v/>
      </c>
      <c r="T342" s="18">
        <f>IF(OR(C342="",P342="",Q342="",R342="",D342=""),"",ROUND(C342*Guide!$B$9+P342*Guide!$B$10+S342*Guide!$B$11+Q342*Guide!$B$12+(100-R342)*Guide!$B$13,1))</f>
        <v/>
      </c>
      <c r="U342" s="18">
        <f>IF(T342="","",IF(T342&gt;=Guide!$B$15,"PRIORITY","Low"))</f>
        <v/>
      </c>
    </row>
    <row r="343">
      <c r="A343" s="19" t="n"/>
      <c r="B343" s="19" t="n"/>
      <c r="C343" s="19" t="n"/>
      <c r="D343" s="20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21" t="n"/>
      <c r="O343" s="19" t="n"/>
      <c r="P343" s="19" t="n"/>
      <c r="Q343" s="19" t="n"/>
      <c r="R343" s="19" t="n"/>
      <c r="S343" s="18">
        <f>IF(D343="","",INDEX(Guide!$B$18:$B$25,MATCH(D343,Guide!$A$18:$A$25,1)))</f>
        <v/>
      </c>
      <c r="T343" s="18">
        <f>IF(OR(C343="",P343="",Q343="",R343="",D343=""),"",ROUND(C343*Guide!$B$9+P343*Guide!$B$10+S343*Guide!$B$11+Q343*Guide!$B$12+(100-R343)*Guide!$B$13,1))</f>
        <v/>
      </c>
      <c r="U343" s="18">
        <f>IF(T343="","",IF(T343&gt;=Guide!$B$15,"PRIORITY","Low"))</f>
        <v/>
      </c>
    </row>
    <row r="344">
      <c r="A344" s="19" t="n"/>
      <c r="B344" s="19" t="n"/>
      <c r="C344" s="19" t="n"/>
      <c r="D344" s="20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21" t="n"/>
      <c r="O344" s="19" t="n"/>
      <c r="P344" s="19" t="n"/>
      <c r="Q344" s="19" t="n"/>
      <c r="R344" s="19" t="n"/>
      <c r="S344" s="18">
        <f>IF(D344="","",INDEX(Guide!$B$18:$B$25,MATCH(D344,Guide!$A$18:$A$25,1)))</f>
        <v/>
      </c>
      <c r="T344" s="18">
        <f>IF(OR(C344="",P344="",Q344="",R344="",D344=""),"",ROUND(C344*Guide!$B$9+P344*Guide!$B$10+S344*Guide!$B$11+Q344*Guide!$B$12+(100-R344)*Guide!$B$13,1))</f>
        <v/>
      </c>
      <c r="U344" s="18">
        <f>IF(T344="","",IF(T344&gt;=Guide!$B$15,"PRIORITY","Low"))</f>
        <v/>
      </c>
    </row>
    <row r="345">
      <c r="A345" s="19" t="n"/>
      <c r="B345" s="19" t="n"/>
      <c r="C345" s="19" t="n"/>
      <c r="D345" s="20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21" t="n"/>
      <c r="O345" s="19" t="n"/>
      <c r="P345" s="19" t="n"/>
      <c r="Q345" s="19" t="n"/>
      <c r="R345" s="19" t="n"/>
      <c r="S345" s="18">
        <f>IF(D345="","",INDEX(Guide!$B$18:$B$25,MATCH(D345,Guide!$A$18:$A$25,1)))</f>
        <v/>
      </c>
      <c r="T345" s="18">
        <f>IF(OR(C345="",P345="",Q345="",R345="",D345=""),"",ROUND(C345*Guide!$B$9+P345*Guide!$B$10+S345*Guide!$B$11+Q345*Guide!$B$12+(100-R345)*Guide!$B$13,1))</f>
        <v/>
      </c>
      <c r="U345" s="18">
        <f>IF(T345="","",IF(T345&gt;=Guide!$B$15,"PRIORITY","Low"))</f>
        <v/>
      </c>
    </row>
    <row r="346">
      <c r="A346" s="19" t="n"/>
      <c r="B346" s="19" t="n"/>
      <c r="C346" s="19" t="n"/>
      <c r="D346" s="20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21" t="n"/>
      <c r="O346" s="19" t="n"/>
      <c r="P346" s="19" t="n"/>
      <c r="Q346" s="19" t="n"/>
      <c r="R346" s="19" t="n"/>
      <c r="S346" s="18">
        <f>IF(D346="","",INDEX(Guide!$B$18:$B$25,MATCH(D346,Guide!$A$18:$A$25,1)))</f>
        <v/>
      </c>
      <c r="T346" s="18">
        <f>IF(OR(C346="",P346="",Q346="",R346="",D346=""),"",ROUND(C346*Guide!$B$9+P346*Guide!$B$10+S346*Guide!$B$11+Q346*Guide!$B$12+(100-R346)*Guide!$B$13,1))</f>
        <v/>
      </c>
      <c r="U346" s="18">
        <f>IF(T346="","",IF(T346&gt;=Guide!$B$15,"PRIORITY","Low"))</f>
        <v/>
      </c>
    </row>
    <row r="347">
      <c r="A347" s="19" t="n"/>
      <c r="B347" s="19" t="n"/>
      <c r="C347" s="19" t="n"/>
      <c r="D347" s="20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21" t="n"/>
      <c r="O347" s="19" t="n"/>
      <c r="P347" s="19" t="n"/>
      <c r="Q347" s="19" t="n"/>
      <c r="R347" s="19" t="n"/>
      <c r="S347" s="18">
        <f>IF(D347="","",INDEX(Guide!$B$18:$B$25,MATCH(D347,Guide!$A$18:$A$25,1)))</f>
        <v/>
      </c>
      <c r="T347" s="18">
        <f>IF(OR(C347="",P347="",Q347="",R347="",D347=""),"",ROUND(C347*Guide!$B$9+P347*Guide!$B$10+S347*Guide!$B$11+Q347*Guide!$B$12+(100-R347)*Guide!$B$13,1))</f>
        <v/>
      </c>
      <c r="U347" s="18">
        <f>IF(T347="","",IF(T347&gt;=Guide!$B$15,"PRIORITY","Low"))</f>
        <v/>
      </c>
    </row>
    <row r="348">
      <c r="A348" s="19" t="n"/>
      <c r="B348" s="19" t="n"/>
      <c r="C348" s="19" t="n"/>
      <c r="D348" s="20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21" t="n"/>
      <c r="O348" s="19" t="n"/>
      <c r="P348" s="19" t="n"/>
      <c r="Q348" s="19" t="n"/>
      <c r="R348" s="19" t="n"/>
      <c r="S348" s="18">
        <f>IF(D348="","",INDEX(Guide!$B$18:$B$25,MATCH(D348,Guide!$A$18:$A$25,1)))</f>
        <v/>
      </c>
      <c r="T348" s="18">
        <f>IF(OR(C348="",P348="",Q348="",R348="",D348=""),"",ROUND(C348*Guide!$B$9+P348*Guide!$B$10+S348*Guide!$B$11+Q348*Guide!$B$12+(100-R348)*Guide!$B$13,1))</f>
        <v/>
      </c>
      <c r="U348" s="18">
        <f>IF(T348="","",IF(T348&gt;=Guide!$B$15,"PRIORITY","Low"))</f>
        <v/>
      </c>
    </row>
    <row r="349">
      <c r="A349" s="19" t="n"/>
      <c r="B349" s="19" t="n"/>
      <c r="C349" s="19" t="n"/>
      <c r="D349" s="20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21" t="n"/>
      <c r="O349" s="19" t="n"/>
      <c r="P349" s="19" t="n"/>
      <c r="Q349" s="19" t="n"/>
      <c r="R349" s="19" t="n"/>
      <c r="S349" s="18">
        <f>IF(D349="","",INDEX(Guide!$B$18:$B$25,MATCH(D349,Guide!$A$18:$A$25,1)))</f>
        <v/>
      </c>
      <c r="T349" s="18">
        <f>IF(OR(C349="",P349="",Q349="",R349="",D349=""),"",ROUND(C349*Guide!$B$9+P349*Guide!$B$10+S349*Guide!$B$11+Q349*Guide!$B$12+(100-R349)*Guide!$B$13,1))</f>
        <v/>
      </c>
      <c r="U349" s="18">
        <f>IF(T349="","",IF(T349&gt;=Guide!$B$15,"PRIORITY","Low"))</f>
        <v/>
      </c>
    </row>
    <row r="350">
      <c r="A350" s="19" t="n"/>
      <c r="B350" s="19" t="n"/>
      <c r="C350" s="19" t="n"/>
      <c r="D350" s="20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21" t="n"/>
      <c r="O350" s="19" t="n"/>
      <c r="P350" s="19" t="n"/>
      <c r="Q350" s="19" t="n"/>
      <c r="R350" s="19" t="n"/>
      <c r="S350" s="18">
        <f>IF(D350="","",INDEX(Guide!$B$18:$B$25,MATCH(D350,Guide!$A$18:$A$25,1)))</f>
        <v/>
      </c>
      <c r="T350" s="18">
        <f>IF(OR(C350="",P350="",Q350="",R350="",D350=""),"",ROUND(C350*Guide!$B$9+P350*Guide!$B$10+S350*Guide!$B$11+Q350*Guide!$B$12+(100-R350)*Guide!$B$13,1))</f>
        <v/>
      </c>
      <c r="U350" s="18">
        <f>IF(T350="","",IF(T350&gt;=Guide!$B$15,"PRIORITY","Low"))</f>
        <v/>
      </c>
    </row>
    <row r="351">
      <c r="A351" s="19" t="n"/>
      <c r="B351" s="19" t="n"/>
      <c r="C351" s="19" t="n"/>
      <c r="D351" s="20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21" t="n"/>
      <c r="O351" s="19" t="n"/>
      <c r="P351" s="19" t="n"/>
      <c r="Q351" s="19" t="n"/>
      <c r="R351" s="19" t="n"/>
      <c r="S351" s="18">
        <f>IF(D351="","",INDEX(Guide!$B$18:$B$25,MATCH(D351,Guide!$A$18:$A$25,1)))</f>
        <v/>
      </c>
      <c r="T351" s="18">
        <f>IF(OR(C351="",P351="",Q351="",R351="",D351=""),"",ROUND(C351*Guide!$B$9+P351*Guide!$B$10+S351*Guide!$B$11+Q351*Guide!$B$12+(100-R351)*Guide!$B$13,1))</f>
        <v/>
      </c>
      <c r="U351" s="18">
        <f>IF(T351="","",IF(T351&gt;=Guide!$B$15,"PRIORITY","Low"))</f>
        <v/>
      </c>
    </row>
    <row r="352">
      <c r="A352" s="19" t="n"/>
      <c r="B352" s="19" t="n"/>
      <c r="C352" s="19" t="n"/>
      <c r="D352" s="20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21" t="n"/>
      <c r="O352" s="19" t="n"/>
      <c r="P352" s="19" t="n"/>
      <c r="Q352" s="19" t="n"/>
      <c r="R352" s="19" t="n"/>
      <c r="S352" s="18">
        <f>IF(D352="","",INDEX(Guide!$B$18:$B$25,MATCH(D352,Guide!$A$18:$A$25,1)))</f>
        <v/>
      </c>
      <c r="T352" s="18">
        <f>IF(OR(C352="",P352="",Q352="",R352="",D352=""),"",ROUND(C352*Guide!$B$9+P352*Guide!$B$10+S352*Guide!$B$11+Q352*Guide!$B$12+(100-R352)*Guide!$B$13,1))</f>
        <v/>
      </c>
      <c r="U352" s="18">
        <f>IF(T352="","",IF(T352&gt;=Guide!$B$15,"PRIORITY","Low"))</f>
        <v/>
      </c>
    </row>
    <row r="353">
      <c r="A353" s="19" t="n"/>
      <c r="B353" s="19" t="n"/>
      <c r="C353" s="19" t="n"/>
      <c r="D353" s="20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21" t="n"/>
      <c r="O353" s="19" t="n"/>
      <c r="P353" s="19" t="n"/>
      <c r="Q353" s="19" t="n"/>
      <c r="R353" s="19" t="n"/>
      <c r="S353" s="18">
        <f>IF(D353="","",INDEX(Guide!$B$18:$B$25,MATCH(D353,Guide!$A$18:$A$25,1)))</f>
        <v/>
      </c>
      <c r="T353" s="18">
        <f>IF(OR(C353="",P353="",Q353="",R353="",D353=""),"",ROUND(C353*Guide!$B$9+P353*Guide!$B$10+S353*Guide!$B$11+Q353*Guide!$B$12+(100-R353)*Guide!$B$13,1))</f>
        <v/>
      </c>
      <c r="U353" s="18">
        <f>IF(T353="","",IF(T353&gt;=Guide!$B$15,"PRIORITY","Low"))</f>
        <v/>
      </c>
    </row>
    <row r="354">
      <c r="A354" s="19" t="n"/>
      <c r="B354" s="19" t="n"/>
      <c r="C354" s="19" t="n"/>
      <c r="D354" s="20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21" t="n"/>
      <c r="O354" s="19" t="n"/>
      <c r="P354" s="19" t="n"/>
      <c r="Q354" s="19" t="n"/>
      <c r="R354" s="19" t="n"/>
      <c r="S354" s="18">
        <f>IF(D354="","",INDEX(Guide!$B$18:$B$25,MATCH(D354,Guide!$A$18:$A$25,1)))</f>
        <v/>
      </c>
      <c r="T354" s="18">
        <f>IF(OR(C354="",P354="",Q354="",R354="",D354=""),"",ROUND(C354*Guide!$B$9+P354*Guide!$B$10+S354*Guide!$B$11+Q354*Guide!$B$12+(100-R354)*Guide!$B$13,1))</f>
        <v/>
      </c>
      <c r="U354" s="18">
        <f>IF(T354="","",IF(T354&gt;=Guide!$B$15,"PRIORITY","Low"))</f>
        <v/>
      </c>
    </row>
    <row r="355">
      <c r="A355" s="19" t="n"/>
      <c r="B355" s="19" t="n"/>
      <c r="C355" s="19" t="n"/>
      <c r="D355" s="20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21" t="n"/>
      <c r="O355" s="19" t="n"/>
      <c r="P355" s="19" t="n"/>
      <c r="Q355" s="19" t="n"/>
      <c r="R355" s="19" t="n"/>
      <c r="S355" s="18">
        <f>IF(D355="","",INDEX(Guide!$B$18:$B$25,MATCH(D355,Guide!$A$18:$A$25,1)))</f>
        <v/>
      </c>
      <c r="T355" s="18">
        <f>IF(OR(C355="",P355="",Q355="",R355="",D355=""),"",ROUND(C355*Guide!$B$9+P355*Guide!$B$10+S355*Guide!$B$11+Q355*Guide!$B$12+(100-R355)*Guide!$B$13,1))</f>
        <v/>
      </c>
      <c r="U355" s="18">
        <f>IF(T355="","",IF(T355&gt;=Guide!$B$15,"PRIORITY","Low"))</f>
        <v/>
      </c>
    </row>
    <row r="356">
      <c r="A356" s="19" t="n"/>
      <c r="B356" s="19" t="n"/>
      <c r="C356" s="19" t="n"/>
      <c r="D356" s="20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21" t="n"/>
      <c r="O356" s="19" t="n"/>
      <c r="P356" s="19" t="n"/>
      <c r="Q356" s="19" t="n"/>
      <c r="R356" s="19" t="n"/>
      <c r="S356" s="18">
        <f>IF(D356="","",INDEX(Guide!$B$18:$B$25,MATCH(D356,Guide!$A$18:$A$25,1)))</f>
        <v/>
      </c>
      <c r="T356" s="18">
        <f>IF(OR(C356="",P356="",Q356="",R356="",D356=""),"",ROUND(C356*Guide!$B$9+P356*Guide!$B$10+S356*Guide!$B$11+Q356*Guide!$B$12+(100-R356)*Guide!$B$13,1))</f>
        <v/>
      </c>
      <c r="U356" s="18">
        <f>IF(T356="","",IF(T356&gt;=Guide!$B$15,"PRIORITY","Low"))</f>
        <v/>
      </c>
    </row>
    <row r="357">
      <c r="A357" s="19" t="n"/>
      <c r="B357" s="19" t="n"/>
      <c r="C357" s="19" t="n"/>
      <c r="D357" s="20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21" t="n"/>
      <c r="O357" s="19" t="n"/>
      <c r="P357" s="19" t="n"/>
      <c r="Q357" s="19" t="n"/>
      <c r="R357" s="19" t="n"/>
      <c r="S357" s="18">
        <f>IF(D357="","",INDEX(Guide!$B$18:$B$25,MATCH(D357,Guide!$A$18:$A$25,1)))</f>
        <v/>
      </c>
      <c r="T357" s="18">
        <f>IF(OR(C357="",P357="",Q357="",R357="",D357=""),"",ROUND(C357*Guide!$B$9+P357*Guide!$B$10+S357*Guide!$B$11+Q357*Guide!$B$12+(100-R357)*Guide!$B$13,1))</f>
        <v/>
      </c>
      <c r="U357" s="18">
        <f>IF(T357="","",IF(T357&gt;=Guide!$B$15,"PRIORITY","Low"))</f>
        <v/>
      </c>
    </row>
    <row r="358">
      <c r="A358" s="19" t="n"/>
      <c r="B358" s="19" t="n"/>
      <c r="C358" s="19" t="n"/>
      <c r="D358" s="20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21" t="n"/>
      <c r="O358" s="19" t="n"/>
      <c r="P358" s="19" t="n"/>
      <c r="Q358" s="19" t="n"/>
      <c r="R358" s="19" t="n"/>
      <c r="S358" s="18">
        <f>IF(D358="","",INDEX(Guide!$B$18:$B$25,MATCH(D358,Guide!$A$18:$A$25,1)))</f>
        <v/>
      </c>
      <c r="T358" s="18">
        <f>IF(OR(C358="",P358="",Q358="",R358="",D358=""),"",ROUND(C358*Guide!$B$9+P358*Guide!$B$10+S358*Guide!$B$11+Q358*Guide!$B$12+(100-R358)*Guide!$B$13,1))</f>
        <v/>
      </c>
      <c r="U358" s="18">
        <f>IF(T358="","",IF(T358&gt;=Guide!$B$15,"PRIORITY","Low"))</f>
        <v/>
      </c>
    </row>
    <row r="359">
      <c r="A359" s="19" t="n"/>
      <c r="B359" s="19" t="n"/>
      <c r="C359" s="19" t="n"/>
      <c r="D359" s="20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21" t="n"/>
      <c r="O359" s="19" t="n"/>
      <c r="P359" s="19" t="n"/>
      <c r="Q359" s="19" t="n"/>
      <c r="R359" s="19" t="n"/>
      <c r="S359" s="18">
        <f>IF(D359="","",INDEX(Guide!$B$18:$B$25,MATCH(D359,Guide!$A$18:$A$25,1)))</f>
        <v/>
      </c>
      <c r="T359" s="18">
        <f>IF(OR(C359="",P359="",Q359="",R359="",D359=""),"",ROUND(C359*Guide!$B$9+P359*Guide!$B$10+S359*Guide!$B$11+Q359*Guide!$B$12+(100-R359)*Guide!$B$13,1))</f>
        <v/>
      </c>
      <c r="U359" s="18">
        <f>IF(T359="","",IF(T359&gt;=Guide!$B$15,"PRIORITY","Low"))</f>
        <v/>
      </c>
    </row>
    <row r="360">
      <c r="A360" s="19" t="n"/>
      <c r="B360" s="19" t="n"/>
      <c r="C360" s="19" t="n"/>
      <c r="D360" s="20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21" t="n"/>
      <c r="O360" s="19" t="n"/>
      <c r="P360" s="19" t="n"/>
      <c r="Q360" s="19" t="n"/>
      <c r="R360" s="19" t="n"/>
      <c r="S360" s="18">
        <f>IF(D360="","",INDEX(Guide!$B$18:$B$25,MATCH(D360,Guide!$A$18:$A$25,1)))</f>
        <v/>
      </c>
      <c r="T360" s="18">
        <f>IF(OR(C360="",P360="",Q360="",R360="",D360=""),"",ROUND(C360*Guide!$B$9+P360*Guide!$B$10+S360*Guide!$B$11+Q360*Guide!$B$12+(100-R360)*Guide!$B$13,1))</f>
        <v/>
      </c>
      <c r="U360" s="18">
        <f>IF(T360="","",IF(T360&gt;=Guide!$B$15,"PRIORITY","Low"))</f>
        <v/>
      </c>
    </row>
    <row r="361">
      <c r="A361" s="19" t="n"/>
      <c r="B361" s="19" t="n"/>
      <c r="C361" s="19" t="n"/>
      <c r="D361" s="20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21" t="n"/>
      <c r="O361" s="19" t="n"/>
      <c r="P361" s="19" t="n"/>
      <c r="Q361" s="19" t="n"/>
      <c r="R361" s="19" t="n"/>
      <c r="S361" s="18">
        <f>IF(D361="","",INDEX(Guide!$B$18:$B$25,MATCH(D361,Guide!$A$18:$A$25,1)))</f>
        <v/>
      </c>
      <c r="T361" s="18">
        <f>IF(OR(C361="",P361="",Q361="",R361="",D361=""),"",ROUND(C361*Guide!$B$9+P361*Guide!$B$10+S361*Guide!$B$11+Q361*Guide!$B$12+(100-R361)*Guide!$B$13,1))</f>
        <v/>
      </c>
      <c r="U361" s="18">
        <f>IF(T361="","",IF(T361&gt;=Guide!$B$15,"PRIORITY","Low"))</f>
        <v/>
      </c>
    </row>
    <row r="362">
      <c r="A362" s="19" t="n"/>
      <c r="B362" s="19" t="n"/>
      <c r="C362" s="19" t="n"/>
      <c r="D362" s="20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21" t="n"/>
      <c r="O362" s="19" t="n"/>
      <c r="P362" s="19" t="n"/>
      <c r="Q362" s="19" t="n"/>
      <c r="R362" s="19" t="n"/>
      <c r="S362" s="18">
        <f>IF(D362="","",INDEX(Guide!$B$18:$B$25,MATCH(D362,Guide!$A$18:$A$25,1)))</f>
        <v/>
      </c>
      <c r="T362" s="18">
        <f>IF(OR(C362="",P362="",Q362="",R362="",D362=""),"",ROUND(C362*Guide!$B$9+P362*Guide!$B$10+S362*Guide!$B$11+Q362*Guide!$B$12+(100-R362)*Guide!$B$13,1))</f>
        <v/>
      </c>
      <c r="U362" s="18">
        <f>IF(T362="","",IF(T362&gt;=Guide!$B$15,"PRIORITY","Low"))</f>
        <v/>
      </c>
    </row>
    <row r="363">
      <c r="A363" s="19" t="n"/>
      <c r="B363" s="19" t="n"/>
      <c r="C363" s="19" t="n"/>
      <c r="D363" s="20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21" t="n"/>
      <c r="O363" s="19" t="n"/>
      <c r="P363" s="19" t="n"/>
      <c r="Q363" s="19" t="n"/>
      <c r="R363" s="19" t="n"/>
      <c r="S363" s="18">
        <f>IF(D363="","",INDEX(Guide!$B$18:$B$25,MATCH(D363,Guide!$A$18:$A$25,1)))</f>
        <v/>
      </c>
      <c r="T363" s="18">
        <f>IF(OR(C363="",P363="",Q363="",R363="",D363=""),"",ROUND(C363*Guide!$B$9+P363*Guide!$B$10+S363*Guide!$B$11+Q363*Guide!$B$12+(100-R363)*Guide!$B$13,1))</f>
        <v/>
      </c>
      <c r="U363" s="18">
        <f>IF(T363="","",IF(T363&gt;=Guide!$B$15,"PRIORITY","Low"))</f>
        <v/>
      </c>
    </row>
    <row r="364">
      <c r="A364" s="19" t="n"/>
      <c r="B364" s="19" t="n"/>
      <c r="C364" s="19" t="n"/>
      <c r="D364" s="20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21" t="n"/>
      <c r="O364" s="19" t="n"/>
      <c r="P364" s="19" t="n"/>
      <c r="Q364" s="19" t="n"/>
      <c r="R364" s="19" t="n"/>
      <c r="S364" s="18">
        <f>IF(D364="","",INDEX(Guide!$B$18:$B$25,MATCH(D364,Guide!$A$18:$A$25,1)))</f>
        <v/>
      </c>
      <c r="T364" s="18">
        <f>IF(OR(C364="",P364="",Q364="",R364="",D364=""),"",ROUND(C364*Guide!$B$9+P364*Guide!$B$10+S364*Guide!$B$11+Q364*Guide!$B$12+(100-R364)*Guide!$B$13,1))</f>
        <v/>
      </c>
      <c r="U364" s="18">
        <f>IF(T364="","",IF(T364&gt;=Guide!$B$15,"PRIORITY","Low"))</f>
        <v/>
      </c>
    </row>
    <row r="365">
      <c r="A365" s="19" t="n"/>
      <c r="B365" s="19" t="n"/>
      <c r="C365" s="19" t="n"/>
      <c r="D365" s="20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21" t="n"/>
      <c r="O365" s="19" t="n"/>
      <c r="P365" s="19" t="n"/>
      <c r="Q365" s="19" t="n"/>
      <c r="R365" s="19" t="n"/>
      <c r="S365" s="18">
        <f>IF(D365="","",INDEX(Guide!$B$18:$B$25,MATCH(D365,Guide!$A$18:$A$25,1)))</f>
        <v/>
      </c>
      <c r="T365" s="18">
        <f>IF(OR(C365="",P365="",Q365="",R365="",D365=""),"",ROUND(C365*Guide!$B$9+P365*Guide!$B$10+S365*Guide!$B$11+Q365*Guide!$B$12+(100-R365)*Guide!$B$13,1))</f>
        <v/>
      </c>
      <c r="U365" s="18">
        <f>IF(T365="","",IF(T365&gt;=Guide!$B$15,"PRIORITY","Low"))</f>
        <v/>
      </c>
    </row>
    <row r="366">
      <c r="A366" s="19" t="n"/>
      <c r="B366" s="19" t="n"/>
      <c r="C366" s="19" t="n"/>
      <c r="D366" s="20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21" t="n"/>
      <c r="O366" s="19" t="n"/>
      <c r="P366" s="19" t="n"/>
      <c r="Q366" s="19" t="n"/>
      <c r="R366" s="19" t="n"/>
      <c r="S366" s="18">
        <f>IF(D366="","",INDEX(Guide!$B$18:$B$25,MATCH(D366,Guide!$A$18:$A$25,1)))</f>
        <v/>
      </c>
      <c r="T366" s="18">
        <f>IF(OR(C366="",P366="",Q366="",R366="",D366=""),"",ROUND(C366*Guide!$B$9+P366*Guide!$B$10+S366*Guide!$B$11+Q366*Guide!$B$12+(100-R366)*Guide!$B$13,1))</f>
        <v/>
      </c>
      <c r="U366" s="18">
        <f>IF(T366="","",IF(T366&gt;=Guide!$B$15,"PRIORITY","Low"))</f>
        <v/>
      </c>
    </row>
    <row r="367">
      <c r="A367" s="19" t="n"/>
      <c r="B367" s="19" t="n"/>
      <c r="C367" s="19" t="n"/>
      <c r="D367" s="20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21" t="n"/>
      <c r="O367" s="19" t="n"/>
      <c r="P367" s="19" t="n"/>
      <c r="Q367" s="19" t="n"/>
      <c r="R367" s="19" t="n"/>
      <c r="S367" s="18">
        <f>IF(D367="","",INDEX(Guide!$B$18:$B$25,MATCH(D367,Guide!$A$18:$A$25,1)))</f>
        <v/>
      </c>
      <c r="T367" s="18">
        <f>IF(OR(C367="",P367="",Q367="",R367="",D367=""),"",ROUND(C367*Guide!$B$9+P367*Guide!$B$10+S367*Guide!$B$11+Q367*Guide!$B$12+(100-R367)*Guide!$B$13,1))</f>
        <v/>
      </c>
      <c r="U367" s="18">
        <f>IF(T367="","",IF(T367&gt;=Guide!$B$15,"PRIORITY","Low"))</f>
        <v/>
      </c>
    </row>
    <row r="368">
      <c r="A368" s="19" t="n"/>
      <c r="B368" s="19" t="n"/>
      <c r="C368" s="19" t="n"/>
      <c r="D368" s="20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21" t="n"/>
      <c r="O368" s="19" t="n"/>
      <c r="P368" s="19" t="n"/>
      <c r="Q368" s="19" t="n"/>
      <c r="R368" s="19" t="n"/>
      <c r="S368" s="18">
        <f>IF(D368="","",INDEX(Guide!$B$18:$B$25,MATCH(D368,Guide!$A$18:$A$25,1)))</f>
        <v/>
      </c>
      <c r="T368" s="18">
        <f>IF(OR(C368="",P368="",Q368="",R368="",D368=""),"",ROUND(C368*Guide!$B$9+P368*Guide!$B$10+S368*Guide!$B$11+Q368*Guide!$B$12+(100-R368)*Guide!$B$13,1))</f>
        <v/>
      </c>
      <c r="U368" s="18">
        <f>IF(T368="","",IF(T368&gt;=Guide!$B$15,"PRIORITY","Low"))</f>
        <v/>
      </c>
    </row>
    <row r="369">
      <c r="A369" s="19" t="n"/>
      <c r="B369" s="19" t="n"/>
      <c r="C369" s="19" t="n"/>
      <c r="D369" s="20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21" t="n"/>
      <c r="O369" s="19" t="n"/>
      <c r="P369" s="19" t="n"/>
      <c r="Q369" s="19" t="n"/>
      <c r="R369" s="19" t="n"/>
      <c r="S369" s="18">
        <f>IF(D369="","",INDEX(Guide!$B$18:$B$25,MATCH(D369,Guide!$A$18:$A$25,1)))</f>
        <v/>
      </c>
      <c r="T369" s="18">
        <f>IF(OR(C369="",P369="",Q369="",R369="",D369=""),"",ROUND(C369*Guide!$B$9+P369*Guide!$B$10+S369*Guide!$B$11+Q369*Guide!$B$12+(100-R369)*Guide!$B$13,1))</f>
        <v/>
      </c>
      <c r="U369" s="18">
        <f>IF(T369="","",IF(T369&gt;=Guide!$B$15,"PRIORITY","Low"))</f>
        <v/>
      </c>
    </row>
    <row r="370">
      <c r="A370" s="19" t="n"/>
      <c r="B370" s="19" t="n"/>
      <c r="C370" s="19" t="n"/>
      <c r="D370" s="20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21" t="n"/>
      <c r="O370" s="19" t="n"/>
      <c r="P370" s="19" t="n"/>
      <c r="Q370" s="19" t="n"/>
      <c r="R370" s="19" t="n"/>
      <c r="S370" s="18">
        <f>IF(D370="","",INDEX(Guide!$B$18:$B$25,MATCH(D370,Guide!$A$18:$A$25,1)))</f>
        <v/>
      </c>
      <c r="T370" s="18">
        <f>IF(OR(C370="",P370="",Q370="",R370="",D370=""),"",ROUND(C370*Guide!$B$9+P370*Guide!$B$10+S370*Guide!$B$11+Q370*Guide!$B$12+(100-R370)*Guide!$B$13,1))</f>
        <v/>
      </c>
      <c r="U370" s="18">
        <f>IF(T370="","",IF(T370&gt;=Guide!$B$15,"PRIORITY","Low"))</f>
        <v/>
      </c>
    </row>
    <row r="371">
      <c r="A371" s="19" t="n"/>
      <c r="B371" s="19" t="n"/>
      <c r="C371" s="19" t="n"/>
      <c r="D371" s="20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21" t="n"/>
      <c r="O371" s="19" t="n"/>
      <c r="P371" s="19" t="n"/>
      <c r="Q371" s="19" t="n"/>
      <c r="R371" s="19" t="n"/>
      <c r="S371" s="18">
        <f>IF(D371="","",INDEX(Guide!$B$18:$B$25,MATCH(D371,Guide!$A$18:$A$25,1)))</f>
        <v/>
      </c>
      <c r="T371" s="18">
        <f>IF(OR(C371="",P371="",Q371="",R371="",D371=""),"",ROUND(C371*Guide!$B$9+P371*Guide!$B$10+S371*Guide!$B$11+Q371*Guide!$B$12+(100-R371)*Guide!$B$13,1))</f>
        <v/>
      </c>
      <c r="U371" s="18">
        <f>IF(T371="","",IF(T371&gt;=Guide!$B$15,"PRIORITY","Low"))</f>
        <v/>
      </c>
    </row>
    <row r="372">
      <c r="A372" s="19" t="n"/>
      <c r="B372" s="19" t="n"/>
      <c r="C372" s="19" t="n"/>
      <c r="D372" s="20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21" t="n"/>
      <c r="O372" s="19" t="n"/>
      <c r="P372" s="19" t="n"/>
      <c r="Q372" s="19" t="n"/>
      <c r="R372" s="19" t="n"/>
      <c r="S372" s="18">
        <f>IF(D372="","",INDEX(Guide!$B$18:$B$25,MATCH(D372,Guide!$A$18:$A$25,1)))</f>
        <v/>
      </c>
      <c r="T372" s="18">
        <f>IF(OR(C372="",P372="",Q372="",R372="",D372=""),"",ROUND(C372*Guide!$B$9+P372*Guide!$B$10+S372*Guide!$B$11+Q372*Guide!$B$12+(100-R372)*Guide!$B$13,1))</f>
        <v/>
      </c>
      <c r="U372" s="18">
        <f>IF(T372="","",IF(T372&gt;=Guide!$B$15,"PRIORITY","Low"))</f>
        <v/>
      </c>
    </row>
    <row r="373">
      <c r="A373" s="19" t="n"/>
      <c r="B373" s="19" t="n"/>
      <c r="C373" s="19" t="n"/>
      <c r="D373" s="20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21" t="n"/>
      <c r="O373" s="19" t="n"/>
      <c r="P373" s="19" t="n"/>
      <c r="Q373" s="19" t="n"/>
      <c r="R373" s="19" t="n"/>
      <c r="S373" s="18">
        <f>IF(D373="","",INDEX(Guide!$B$18:$B$25,MATCH(D373,Guide!$A$18:$A$25,1)))</f>
        <v/>
      </c>
      <c r="T373" s="18">
        <f>IF(OR(C373="",P373="",Q373="",R373="",D373=""),"",ROUND(C373*Guide!$B$9+P373*Guide!$B$10+S373*Guide!$B$11+Q373*Guide!$B$12+(100-R373)*Guide!$B$13,1))</f>
        <v/>
      </c>
      <c r="U373" s="18">
        <f>IF(T373="","",IF(T373&gt;=Guide!$B$15,"PRIORITY","Low"))</f>
        <v/>
      </c>
    </row>
    <row r="374">
      <c r="A374" s="19" t="n"/>
      <c r="B374" s="19" t="n"/>
      <c r="C374" s="19" t="n"/>
      <c r="D374" s="20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21" t="n"/>
      <c r="O374" s="19" t="n"/>
      <c r="P374" s="19" t="n"/>
      <c r="Q374" s="19" t="n"/>
      <c r="R374" s="19" t="n"/>
      <c r="S374" s="18">
        <f>IF(D374="","",INDEX(Guide!$B$18:$B$25,MATCH(D374,Guide!$A$18:$A$25,1)))</f>
        <v/>
      </c>
      <c r="T374" s="18">
        <f>IF(OR(C374="",P374="",Q374="",R374="",D374=""),"",ROUND(C374*Guide!$B$9+P374*Guide!$B$10+S374*Guide!$B$11+Q374*Guide!$B$12+(100-R374)*Guide!$B$13,1))</f>
        <v/>
      </c>
      <c r="U374" s="18">
        <f>IF(T374="","",IF(T374&gt;=Guide!$B$15,"PRIORITY","Low"))</f>
        <v/>
      </c>
    </row>
    <row r="375">
      <c r="A375" s="19" t="n"/>
      <c r="B375" s="19" t="n"/>
      <c r="C375" s="19" t="n"/>
      <c r="D375" s="20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21" t="n"/>
      <c r="O375" s="19" t="n"/>
      <c r="P375" s="19" t="n"/>
      <c r="Q375" s="19" t="n"/>
      <c r="R375" s="19" t="n"/>
      <c r="S375" s="18">
        <f>IF(D375="","",INDEX(Guide!$B$18:$B$25,MATCH(D375,Guide!$A$18:$A$25,1)))</f>
        <v/>
      </c>
      <c r="T375" s="18">
        <f>IF(OR(C375="",P375="",Q375="",R375="",D375=""),"",ROUND(C375*Guide!$B$9+P375*Guide!$B$10+S375*Guide!$B$11+Q375*Guide!$B$12+(100-R375)*Guide!$B$13,1))</f>
        <v/>
      </c>
      <c r="U375" s="18">
        <f>IF(T375="","",IF(T375&gt;=Guide!$B$15,"PRIORITY","Low"))</f>
        <v/>
      </c>
    </row>
    <row r="376">
      <c r="A376" s="19" t="n"/>
      <c r="B376" s="19" t="n"/>
      <c r="C376" s="19" t="n"/>
      <c r="D376" s="20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21" t="n"/>
      <c r="O376" s="19" t="n"/>
      <c r="P376" s="19" t="n"/>
      <c r="Q376" s="19" t="n"/>
      <c r="R376" s="19" t="n"/>
      <c r="S376" s="18">
        <f>IF(D376="","",INDEX(Guide!$B$18:$B$25,MATCH(D376,Guide!$A$18:$A$25,1)))</f>
        <v/>
      </c>
      <c r="T376" s="18">
        <f>IF(OR(C376="",P376="",Q376="",R376="",D376=""),"",ROUND(C376*Guide!$B$9+P376*Guide!$B$10+S376*Guide!$B$11+Q376*Guide!$B$12+(100-R376)*Guide!$B$13,1))</f>
        <v/>
      </c>
      <c r="U376" s="18">
        <f>IF(T376="","",IF(T376&gt;=Guide!$B$15,"PRIORITY","Low"))</f>
        <v/>
      </c>
    </row>
    <row r="377">
      <c r="A377" s="19" t="n"/>
      <c r="B377" s="19" t="n"/>
      <c r="C377" s="19" t="n"/>
      <c r="D377" s="20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21" t="n"/>
      <c r="O377" s="19" t="n"/>
      <c r="P377" s="19" t="n"/>
      <c r="Q377" s="19" t="n"/>
      <c r="R377" s="19" t="n"/>
      <c r="S377" s="18">
        <f>IF(D377="","",INDEX(Guide!$B$18:$B$25,MATCH(D377,Guide!$A$18:$A$25,1)))</f>
        <v/>
      </c>
      <c r="T377" s="18">
        <f>IF(OR(C377="",P377="",Q377="",R377="",D377=""),"",ROUND(C377*Guide!$B$9+P377*Guide!$B$10+S377*Guide!$B$11+Q377*Guide!$B$12+(100-R377)*Guide!$B$13,1))</f>
        <v/>
      </c>
      <c r="U377" s="18">
        <f>IF(T377="","",IF(T377&gt;=Guide!$B$15,"PRIORITY","Low"))</f>
        <v/>
      </c>
    </row>
    <row r="378">
      <c r="A378" s="19" t="n"/>
      <c r="B378" s="19" t="n"/>
      <c r="C378" s="19" t="n"/>
      <c r="D378" s="20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21" t="n"/>
      <c r="O378" s="19" t="n"/>
      <c r="P378" s="19" t="n"/>
      <c r="Q378" s="19" t="n"/>
      <c r="R378" s="19" t="n"/>
      <c r="S378" s="18">
        <f>IF(D378="","",INDEX(Guide!$B$18:$B$25,MATCH(D378,Guide!$A$18:$A$25,1)))</f>
        <v/>
      </c>
      <c r="T378" s="18">
        <f>IF(OR(C378="",P378="",Q378="",R378="",D378=""),"",ROUND(C378*Guide!$B$9+P378*Guide!$B$10+S378*Guide!$B$11+Q378*Guide!$B$12+(100-R378)*Guide!$B$13,1))</f>
        <v/>
      </c>
      <c r="U378" s="18">
        <f>IF(T378="","",IF(T378&gt;=Guide!$B$15,"PRIORITY","Low"))</f>
        <v/>
      </c>
    </row>
    <row r="379">
      <c r="A379" s="19" t="n"/>
      <c r="B379" s="19" t="n"/>
      <c r="C379" s="19" t="n"/>
      <c r="D379" s="20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21" t="n"/>
      <c r="O379" s="19" t="n"/>
      <c r="P379" s="19" t="n"/>
      <c r="Q379" s="19" t="n"/>
      <c r="R379" s="19" t="n"/>
      <c r="S379" s="18">
        <f>IF(D379="","",INDEX(Guide!$B$18:$B$25,MATCH(D379,Guide!$A$18:$A$25,1)))</f>
        <v/>
      </c>
      <c r="T379" s="18">
        <f>IF(OR(C379="",P379="",Q379="",R379="",D379=""),"",ROUND(C379*Guide!$B$9+P379*Guide!$B$10+S379*Guide!$B$11+Q379*Guide!$B$12+(100-R379)*Guide!$B$13,1))</f>
        <v/>
      </c>
      <c r="U379" s="18">
        <f>IF(T379="","",IF(T379&gt;=Guide!$B$15,"PRIORITY","Low"))</f>
        <v/>
      </c>
    </row>
    <row r="380">
      <c r="A380" s="19" t="n"/>
      <c r="B380" s="19" t="n"/>
      <c r="C380" s="19" t="n"/>
      <c r="D380" s="20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21" t="n"/>
      <c r="O380" s="19" t="n"/>
      <c r="P380" s="19" t="n"/>
      <c r="Q380" s="19" t="n"/>
      <c r="R380" s="19" t="n"/>
      <c r="S380" s="18">
        <f>IF(D380="","",INDEX(Guide!$B$18:$B$25,MATCH(D380,Guide!$A$18:$A$25,1)))</f>
        <v/>
      </c>
      <c r="T380" s="18">
        <f>IF(OR(C380="",P380="",Q380="",R380="",D380=""),"",ROUND(C380*Guide!$B$9+P380*Guide!$B$10+S380*Guide!$B$11+Q380*Guide!$B$12+(100-R380)*Guide!$B$13,1))</f>
        <v/>
      </c>
      <c r="U380" s="18">
        <f>IF(T380="","",IF(T380&gt;=Guide!$B$15,"PRIORITY","Low"))</f>
        <v/>
      </c>
    </row>
    <row r="381">
      <c r="A381" s="19" t="n"/>
      <c r="B381" s="19" t="n"/>
      <c r="C381" s="19" t="n"/>
      <c r="D381" s="20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21" t="n"/>
      <c r="O381" s="19" t="n"/>
      <c r="P381" s="19" t="n"/>
      <c r="Q381" s="19" t="n"/>
      <c r="R381" s="19" t="n"/>
      <c r="S381" s="18">
        <f>IF(D381="","",INDEX(Guide!$B$18:$B$25,MATCH(D381,Guide!$A$18:$A$25,1)))</f>
        <v/>
      </c>
      <c r="T381" s="18">
        <f>IF(OR(C381="",P381="",Q381="",R381="",D381=""),"",ROUND(C381*Guide!$B$9+P381*Guide!$B$10+S381*Guide!$B$11+Q381*Guide!$B$12+(100-R381)*Guide!$B$13,1))</f>
        <v/>
      </c>
      <c r="U381" s="18">
        <f>IF(T381="","",IF(T381&gt;=Guide!$B$15,"PRIORITY","Low"))</f>
        <v/>
      </c>
    </row>
    <row r="382">
      <c r="A382" s="19" t="n"/>
      <c r="B382" s="19" t="n"/>
      <c r="C382" s="19" t="n"/>
      <c r="D382" s="20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21" t="n"/>
      <c r="O382" s="19" t="n"/>
      <c r="P382" s="19" t="n"/>
      <c r="Q382" s="19" t="n"/>
      <c r="R382" s="19" t="n"/>
      <c r="S382" s="18">
        <f>IF(D382="","",INDEX(Guide!$B$18:$B$25,MATCH(D382,Guide!$A$18:$A$25,1)))</f>
        <v/>
      </c>
      <c r="T382" s="18">
        <f>IF(OR(C382="",P382="",Q382="",R382="",D382=""),"",ROUND(C382*Guide!$B$9+P382*Guide!$B$10+S382*Guide!$B$11+Q382*Guide!$B$12+(100-R382)*Guide!$B$13,1))</f>
        <v/>
      </c>
      <c r="U382" s="18">
        <f>IF(T382="","",IF(T382&gt;=Guide!$B$15,"PRIORITY","Low"))</f>
        <v/>
      </c>
    </row>
    <row r="383">
      <c r="A383" s="19" t="n"/>
      <c r="B383" s="19" t="n"/>
      <c r="C383" s="19" t="n"/>
      <c r="D383" s="20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21" t="n"/>
      <c r="O383" s="19" t="n"/>
      <c r="P383" s="19" t="n"/>
      <c r="Q383" s="19" t="n"/>
      <c r="R383" s="19" t="n"/>
      <c r="S383" s="18">
        <f>IF(D383="","",INDEX(Guide!$B$18:$B$25,MATCH(D383,Guide!$A$18:$A$25,1)))</f>
        <v/>
      </c>
      <c r="T383" s="18">
        <f>IF(OR(C383="",P383="",Q383="",R383="",D383=""),"",ROUND(C383*Guide!$B$9+P383*Guide!$B$10+S383*Guide!$B$11+Q383*Guide!$B$12+(100-R383)*Guide!$B$13,1))</f>
        <v/>
      </c>
      <c r="U383" s="18">
        <f>IF(T383="","",IF(T383&gt;=Guide!$B$15,"PRIORITY","Low"))</f>
        <v/>
      </c>
    </row>
    <row r="384">
      <c r="A384" s="19" t="n"/>
      <c r="B384" s="19" t="n"/>
      <c r="C384" s="19" t="n"/>
      <c r="D384" s="20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21" t="n"/>
      <c r="O384" s="19" t="n"/>
      <c r="P384" s="19" t="n"/>
      <c r="Q384" s="19" t="n"/>
      <c r="R384" s="19" t="n"/>
      <c r="S384" s="18">
        <f>IF(D384="","",INDEX(Guide!$B$18:$B$25,MATCH(D384,Guide!$A$18:$A$25,1)))</f>
        <v/>
      </c>
      <c r="T384" s="18">
        <f>IF(OR(C384="",P384="",Q384="",R384="",D384=""),"",ROUND(C384*Guide!$B$9+P384*Guide!$B$10+S384*Guide!$B$11+Q384*Guide!$B$12+(100-R384)*Guide!$B$13,1))</f>
        <v/>
      </c>
      <c r="U384" s="18">
        <f>IF(T384="","",IF(T384&gt;=Guide!$B$15,"PRIORITY","Low"))</f>
        <v/>
      </c>
    </row>
    <row r="385">
      <c r="A385" s="19" t="n"/>
      <c r="B385" s="19" t="n"/>
      <c r="C385" s="19" t="n"/>
      <c r="D385" s="20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21" t="n"/>
      <c r="O385" s="19" t="n"/>
      <c r="P385" s="19" t="n"/>
      <c r="Q385" s="19" t="n"/>
      <c r="R385" s="19" t="n"/>
      <c r="S385" s="18">
        <f>IF(D385="","",INDEX(Guide!$B$18:$B$25,MATCH(D385,Guide!$A$18:$A$25,1)))</f>
        <v/>
      </c>
      <c r="T385" s="18">
        <f>IF(OR(C385="",P385="",Q385="",R385="",D385=""),"",ROUND(C385*Guide!$B$9+P385*Guide!$B$10+S385*Guide!$B$11+Q385*Guide!$B$12+(100-R385)*Guide!$B$13,1))</f>
        <v/>
      </c>
      <c r="U385" s="18">
        <f>IF(T385="","",IF(T385&gt;=Guide!$B$15,"PRIORITY","Low"))</f>
        <v/>
      </c>
    </row>
    <row r="386">
      <c r="A386" s="19" t="n"/>
      <c r="B386" s="19" t="n"/>
      <c r="C386" s="19" t="n"/>
      <c r="D386" s="20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21" t="n"/>
      <c r="O386" s="19" t="n"/>
      <c r="P386" s="19" t="n"/>
      <c r="Q386" s="19" t="n"/>
      <c r="R386" s="19" t="n"/>
      <c r="S386" s="18">
        <f>IF(D386="","",INDEX(Guide!$B$18:$B$25,MATCH(D386,Guide!$A$18:$A$25,1)))</f>
        <v/>
      </c>
      <c r="T386" s="18">
        <f>IF(OR(C386="",P386="",Q386="",R386="",D386=""),"",ROUND(C386*Guide!$B$9+P386*Guide!$B$10+S386*Guide!$B$11+Q386*Guide!$B$12+(100-R386)*Guide!$B$13,1))</f>
        <v/>
      </c>
      <c r="U386" s="18">
        <f>IF(T386="","",IF(T386&gt;=Guide!$B$15,"PRIORITY","Low"))</f>
        <v/>
      </c>
    </row>
    <row r="387">
      <c r="A387" s="19" t="n"/>
      <c r="B387" s="19" t="n"/>
      <c r="C387" s="19" t="n"/>
      <c r="D387" s="20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21" t="n"/>
      <c r="O387" s="19" t="n"/>
      <c r="P387" s="19" t="n"/>
      <c r="Q387" s="19" t="n"/>
      <c r="R387" s="19" t="n"/>
      <c r="S387" s="18">
        <f>IF(D387="","",INDEX(Guide!$B$18:$B$25,MATCH(D387,Guide!$A$18:$A$25,1)))</f>
        <v/>
      </c>
      <c r="T387" s="18">
        <f>IF(OR(C387="",P387="",Q387="",R387="",D387=""),"",ROUND(C387*Guide!$B$9+P387*Guide!$B$10+S387*Guide!$B$11+Q387*Guide!$B$12+(100-R387)*Guide!$B$13,1))</f>
        <v/>
      </c>
      <c r="U387" s="18">
        <f>IF(T387="","",IF(T387&gt;=Guide!$B$15,"PRIORITY","Low"))</f>
        <v/>
      </c>
    </row>
    <row r="388">
      <c r="A388" s="19" t="n"/>
      <c r="B388" s="19" t="n"/>
      <c r="C388" s="19" t="n"/>
      <c r="D388" s="20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21" t="n"/>
      <c r="O388" s="19" t="n"/>
      <c r="P388" s="19" t="n"/>
      <c r="Q388" s="19" t="n"/>
      <c r="R388" s="19" t="n"/>
      <c r="S388" s="18">
        <f>IF(D388="","",INDEX(Guide!$B$18:$B$25,MATCH(D388,Guide!$A$18:$A$25,1)))</f>
        <v/>
      </c>
      <c r="T388" s="18">
        <f>IF(OR(C388="",P388="",Q388="",R388="",D388=""),"",ROUND(C388*Guide!$B$9+P388*Guide!$B$10+S388*Guide!$B$11+Q388*Guide!$B$12+(100-R388)*Guide!$B$13,1))</f>
        <v/>
      </c>
      <c r="U388" s="18">
        <f>IF(T388="","",IF(T388&gt;=Guide!$B$15,"PRIORITY","Low"))</f>
        <v/>
      </c>
    </row>
    <row r="389">
      <c r="A389" s="19" t="n"/>
      <c r="B389" s="19" t="n"/>
      <c r="C389" s="19" t="n"/>
      <c r="D389" s="20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21" t="n"/>
      <c r="O389" s="19" t="n"/>
      <c r="P389" s="19" t="n"/>
      <c r="Q389" s="19" t="n"/>
      <c r="R389" s="19" t="n"/>
      <c r="S389" s="18">
        <f>IF(D389="","",INDEX(Guide!$B$18:$B$25,MATCH(D389,Guide!$A$18:$A$25,1)))</f>
        <v/>
      </c>
      <c r="T389" s="18">
        <f>IF(OR(C389="",P389="",Q389="",R389="",D389=""),"",ROUND(C389*Guide!$B$9+P389*Guide!$B$10+S389*Guide!$B$11+Q389*Guide!$B$12+(100-R389)*Guide!$B$13,1))</f>
        <v/>
      </c>
      <c r="U389" s="18">
        <f>IF(T389="","",IF(T389&gt;=Guide!$B$15,"PRIORITY","Low"))</f>
        <v/>
      </c>
    </row>
    <row r="390">
      <c r="A390" s="19" t="n"/>
      <c r="B390" s="19" t="n"/>
      <c r="C390" s="19" t="n"/>
      <c r="D390" s="20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21" t="n"/>
      <c r="O390" s="19" t="n"/>
      <c r="P390" s="19" t="n"/>
      <c r="Q390" s="19" t="n"/>
      <c r="R390" s="19" t="n"/>
      <c r="S390" s="18">
        <f>IF(D390="","",INDEX(Guide!$B$18:$B$25,MATCH(D390,Guide!$A$18:$A$25,1)))</f>
        <v/>
      </c>
      <c r="T390" s="18">
        <f>IF(OR(C390="",P390="",Q390="",R390="",D390=""),"",ROUND(C390*Guide!$B$9+P390*Guide!$B$10+S390*Guide!$B$11+Q390*Guide!$B$12+(100-R390)*Guide!$B$13,1))</f>
        <v/>
      </c>
      <c r="U390" s="18">
        <f>IF(T390="","",IF(T390&gt;=Guide!$B$15,"PRIORITY","Low"))</f>
        <v/>
      </c>
    </row>
    <row r="391">
      <c r="A391" s="19" t="n"/>
      <c r="B391" s="19" t="n"/>
      <c r="C391" s="19" t="n"/>
      <c r="D391" s="20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21" t="n"/>
      <c r="O391" s="19" t="n"/>
      <c r="P391" s="19" t="n"/>
      <c r="Q391" s="19" t="n"/>
      <c r="R391" s="19" t="n"/>
      <c r="S391" s="18">
        <f>IF(D391="","",INDEX(Guide!$B$18:$B$25,MATCH(D391,Guide!$A$18:$A$25,1)))</f>
        <v/>
      </c>
      <c r="T391" s="18">
        <f>IF(OR(C391="",P391="",Q391="",R391="",D391=""),"",ROUND(C391*Guide!$B$9+P391*Guide!$B$10+S391*Guide!$B$11+Q391*Guide!$B$12+(100-R391)*Guide!$B$13,1))</f>
        <v/>
      </c>
      <c r="U391" s="18">
        <f>IF(T391="","",IF(T391&gt;=Guide!$B$15,"PRIORITY","Low"))</f>
        <v/>
      </c>
    </row>
    <row r="392">
      <c r="A392" s="19" t="n"/>
      <c r="B392" s="19" t="n"/>
      <c r="C392" s="19" t="n"/>
      <c r="D392" s="20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21" t="n"/>
      <c r="O392" s="19" t="n"/>
      <c r="P392" s="19" t="n"/>
      <c r="Q392" s="19" t="n"/>
      <c r="R392" s="19" t="n"/>
      <c r="S392" s="18">
        <f>IF(D392="","",INDEX(Guide!$B$18:$B$25,MATCH(D392,Guide!$A$18:$A$25,1)))</f>
        <v/>
      </c>
      <c r="T392" s="18">
        <f>IF(OR(C392="",P392="",Q392="",R392="",D392=""),"",ROUND(C392*Guide!$B$9+P392*Guide!$B$10+S392*Guide!$B$11+Q392*Guide!$B$12+(100-R392)*Guide!$B$13,1))</f>
        <v/>
      </c>
      <c r="U392" s="18">
        <f>IF(T392="","",IF(T392&gt;=Guide!$B$15,"PRIORITY","Low"))</f>
        <v/>
      </c>
    </row>
    <row r="393">
      <c r="A393" s="19" t="n"/>
      <c r="B393" s="19" t="n"/>
      <c r="C393" s="19" t="n"/>
      <c r="D393" s="20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21" t="n"/>
      <c r="O393" s="19" t="n"/>
      <c r="P393" s="19" t="n"/>
      <c r="Q393" s="19" t="n"/>
      <c r="R393" s="19" t="n"/>
      <c r="S393" s="18">
        <f>IF(D393="","",INDEX(Guide!$B$18:$B$25,MATCH(D393,Guide!$A$18:$A$25,1)))</f>
        <v/>
      </c>
      <c r="T393" s="18">
        <f>IF(OR(C393="",P393="",Q393="",R393="",D393=""),"",ROUND(C393*Guide!$B$9+P393*Guide!$B$10+S393*Guide!$B$11+Q393*Guide!$B$12+(100-R393)*Guide!$B$13,1))</f>
        <v/>
      </c>
      <c r="U393" s="18">
        <f>IF(T393="","",IF(T393&gt;=Guide!$B$15,"PRIORITY","Low"))</f>
        <v/>
      </c>
    </row>
    <row r="394">
      <c r="A394" s="19" t="n"/>
      <c r="B394" s="19" t="n"/>
      <c r="C394" s="19" t="n"/>
      <c r="D394" s="20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21" t="n"/>
      <c r="O394" s="19" t="n"/>
      <c r="P394" s="19" t="n"/>
      <c r="Q394" s="19" t="n"/>
      <c r="R394" s="19" t="n"/>
      <c r="S394" s="18">
        <f>IF(D394="","",INDEX(Guide!$B$18:$B$25,MATCH(D394,Guide!$A$18:$A$25,1)))</f>
        <v/>
      </c>
      <c r="T394" s="18">
        <f>IF(OR(C394="",P394="",Q394="",R394="",D394=""),"",ROUND(C394*Guide!$B$9+P394*Guide!$B$10+S394*Guide!$B$11+Q394*Guide!$B$12+(100-R394)*Guide!$B$13,1))</f>
        <v/>
      </c>
      <c r="U394" s="18">
        <f>IF(T394="","",IF(T394&gt;=Guide!$B$15,"PRIORITY","Low"))</f>
        <v/>
      </c>
    </row>
    <row r="395">
      <c r="A395" s="19" t="n"/>
      <c r="B395" s="19" t="n"/>
      <c r="C395" s="19" t="n"/>
      <c r="D395" s="20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21" t="n"/>
      <c r="O395" s="19" t="n"/>
      <c r="P395" s="19" t="n"/>
      <c r="Q395" s="19" t="n"/>
      <c r="R395" s="19" t="n"/>
      <c r="S395" s="18">
        <f>IF(D395="","",INDEX(Guide!$B$18:$B$25,MATCH(D395,Guide!$A$18:$A$25,1)))</f>
        <v/>
      </c>
      <c r="T395" s="18">
        <f>IF(OR(C395="",P395="",Q395="",R395="",D395=""),"",ROUND(C395*Guide!$B$9+P395*Guide!$B$10+S395*Guide!$B$11+Q395*Guide!$B$12+(100-R395)*Guide!$B$13,1))</f>
        <v/>
      </c>
      <c r="U395" s="18">
        <f>IF(T395="","",IF(T395&gt;=Guide!$B$15,"PRIORITY","Low"))</f>
        <v/>
      </c>
    </row>
    <row r="396">
      <c r="A396" s="19" t="n"/>
      <c r="B396" s="19" t="n"/>
      <c r="C396" s="19" t="n"/>
      <c r="D396" s="20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21" t="n"/>
      <c r="O396" s="19" t="n"/>
      <c r="P396" s="19" t="n"/>
      <c r="Q396" s="19" t="n"/>
      <c r="R396" s="19" t="n"/>
      <c r="S396" s="18">
        <f>IF(D396="","",INDEX(Guide!$B$18:$B$25,MATCH(D396,Guide!$A$18:$A$25,1)))</f>
        <v/>
      </c>
      <c r="T396" s="18">
        <f>IF(OR(C396="",P396="",Q396="",R396="",D396=""),"",ROUND(C396*Guide!$B$9+P396*Guide!$B$10+S396*Guide!$B$11+Q396*Guide!$B$12+(100-R396)*Guide!$B$13,1))</f>
        <v/>
      </c>
      <c r="U396" s="18">
        <f>IF(T396="","",IF(T396&gt;=Guide!$B$15,"PRIORITY","Low"))</f>
        <v/>
      </c>
    </row>
    <row r="397">
      <c r="A397" s="19" t="n"/>
      <c r="B397" s="19" t="n"/>
      <c r="C397" s="19" t="n"/>
      <c r="D397" s="20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21" t="n"/>
      <c r="O397" s="19" t="n"/>
      <c r="P397" s="19" t="n"/>
      <c r="Q397" s="19" t="n"/>
      <c r="R397" s="19" t="n"/>
      <c r="S397" s="18">
        <f>IF(D397="","",INDEX(Guide!$B$18:$B$25,MATCH(D397,Guide!$A$18:$A$25,1)))</f>
        <v/>
      </c>
      <c r="T397" s="18">
        <f>IF(OR(C397="",P397="",Q397="",R397="",D397=""),"",ROUND(C397*Guide!$B$9+P397*Guide!$B$10+S397*Guide!$B$11+Q397*Guide!$B$12+(100-R397)*Guide!$B$13,1))</f>
        <v/>
      </c>
      <c r="U397" s="18">
        <f>IF(T397="","",IF(T397&gt;=Guide!$B$15,"PRIORITY","Low"))</f>
        <v/>
      </c>
    </row>
    <row r="398">
      <c r="A398" s="19" t="n"/>
      <c r="B398" s="19" t="n"/>
      <c r="C398" s="19" t="n"/>
      <c r="D398" s="20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21" t="n"/>
      <c r="O398" s="19" t="n"/>
      <c r="P398" s="19" t="n"/>
      <c r="Q398" s="19" t="n"/>
      <c r="R398" s="19" t="n"/>
      <c r="S398" s="18">
        <f>IF(D398="","",INDEX(Guide!$B$18:$B$25,MATCH(D398,Guide!$A$18:$A$25,1)))</f>
        <v/>
      </c>
      <c r="T398" s="18">
        <f>IF(OR(C398="",P398="",Q398="",R398="",D398=""),"",ROUND(C398*Guide!$B$9+P398*Guide!$B$10+S398*Guide!$B$11+Q398*Guide!$B$12+(100-R398)*Guide!$B$13,1))</f>
        <v/>
      </c>
      <c r="U398" s="18">
        <f>IF(T398="","",IF(T398&gt;=Guide!$B$15,"PRIORITY","Low"))</f>
        <v/>
      </c>
    </row>
    <row r="399">
      <c r="A399" s="19" t="n"/>
      <c r="B399" s="19" t="n"/>
      <c r="C399" s="19" t="n"/>
      <c r="D399" s="20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21" t="n"/>
      <c r="O399" s="19" t="n"/>
      <c r="P399" s="19" t="n"/>
      <c r="Q399" s="19" t="n"/>
      <c r="R399" s="19" t="n"/>
      <c r="S399" s="18">
        <f>IF(D399="","",INDEX(Guide!$B$18:$B$25,MATCH(D399,Guide!$A$18:$A$25,1)))</f>
        <v/>
      </c>
      <c r="T399" s="18">
        <f>IF(OR(C399="",P399="",Q399="",R399="",D399=""),"",ROUND(C399*Guide!$B$9+P399*Guide!$B$10+S399*Guide!$B$11+Q399*Guide!$B$12+(100-R399)*Guide!$B$13,1))</f>
        <v/>
      </c>
      <c r="U399" s="18">
        <f>IF(T399="","",IF(T399&gt;=Guide!$B$15,"PRIORITY","Low"))</f>
        <v/>
      </c>
    </row>
    <row r="400">
      <c r="A400" s="19" t="n"/>
      <c r="B400" s="19" t="n"/>
      <c r="C400" s="19" t="n"/>
      <c r="D400" s="20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21" t="n"/>
      <c r="O400" s="19" t="n"/>
      <c r="P400" s="19" t="n"/>
      <c r="Q400" s="19" t="n"/>
      <c r="R400" s="19" t="n"/>
      <c r="S400" s="18">
        <f>IF(D400="","",INDEX(Guide!$B$18:$B$25,MATCH(D400,Guide!$A$18:$A$25,1)))</f>
        <v/>
      </c>
      <c r="T400" s="18">
        <f>IF(OR(C400="",P400="",Q400="",R400="",D400=""),"",ROUND(C400*Guide!$B$9+P400*Guide!$B$10+S400*Guide!$B$11+Q400*Guide!$B$12+(100-R400)*Guide!$B$13,1))</f>
        <v/>
      </c>
      <c r="U400" s="18">
        <f>IF(T400="","",IF(T400&gt;=Guide!$B$15,"PRIORITY","Low"))</f>
        <v/>
      </c>
    </row>
    <row r="401">
      <c r="A401" s="19" t="n"/>
      <c r="B401" s="19" t="n"/>
      <c r="C401" s="19" t="n"/>
      <c r="D401" s="20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21" t="n"/>
      <c r="O401" s="19" t="n"/>
      <c r="P401" s="19" t="n"/>
      <c r="Q401" s="19" t="n"/>
      <c r="R401" s="19" t="n"/>
      <c r="S401" s="18">
        <f>IF(D401="","",INDEX(Guide!$B$18:$B$25,MATCH(D401,Guide!$A$18:$A$25,1)))</f>
        <v/>
      </c>
      <c r="T401" s="18">
        <f>IF(OR(C401="",P401="",Q401="",R401="",D401=""),"",ROUND(C401*Guide!$B$9+P401*Guide!$B$10+S401*Guide!$B$11+Q401*Guide!$B$12+(100-R401)*Guide!$B$13,1))</f>
        <v/>
      </c>
      <c r="U401" s="18">
        <f>IF(T401="","",IF(T401&gt;=Guide!$B$15,"PRIORITY","Low"))</f>
        <v/>
      </c>
    </row>
    <row r="402">
      <c r="A402" s="19" t="n"/>
      <c r="B402" s="19" t="n"/>
      <c r="C402" s="19" t="n"/>
      <c r="D402" s="20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21" t="n"/>
      <c r="O402" s="19" t="n"/>
      <c r="P402" s="19" t="n"/>
      <c r="Q402" s="19" t="n"/>
      <c r="R402" s="19" t="n"/>
      <c r="S402" s="18">
        <f>IF(D402="","",INDEX(Guide!$B$18:$B$25,MATCH(D402,Guide!$A$18:$A$25,1)))</f>
        <v/>
      </c>
      <c r="T402" s="18">
        <f>IF(OR(C402="",P402="",Q402="",R402="",D402=""),"",ROUND(C402*Guide!$B$9+P402*Guide!$B$10+S402*Guide!$B$11+Q402*Guide!$B$12+(100-R402)*Guide!$B$13,1))</f>
        <v/>
      </c>
      <c r="U402" s="18">
        <f>IF(T402="","",IF(T402&gt;=Guide!$B$15,"PRIORITY","Low"))</f>
        <v/>
      </c>
    </row>
    <row r="403">
      <c r="A403" s="19" t="n"/>
      <c r="B403" s="19" t="n"/>
      <c r="C403" s="19" t="n"/>
      <c r="D403" s="20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21" t="n"/>
      <c r="O403" s="19" t="n"/>
      <c r="P403" s="19" t="n"/>
      <c r="Q403" s="19" t="n"/>
      <c r="R403" s="19" t="n"/>
      <c r="S403" s="18">
        <f>IF(D403="","",INDEX(Guide!$B$18:$B$25,MATCH(D403,Guide!$A$18:$A$25,1)))</f>
        <v/>
      </c>
      <c r="T403" s="18">
        <f>IF(OR(C403="",P403="",Q403="",R403="",D403=""),"",ROUND(C403*Guide!$B$9+P403*Guide!$B$10+S403*Guide!$B$11+Q403*Guide!$B$12+(100-R403)*Guide!$B$13,1))</f>
        <v/>
      </c>
      <c r="U403" s="18">
        <f>IF(T403="","",IF(T403&gt;=Guide!$B$15,"PRIORITY","Low"))</f>
        <v/>
      </c>
    </row>
    <row r="404">
      <c r="A404" s="19" t="n"/>
      <c r="B404" s="19" t="n"/>
      <c r="C404" s="19" t="n"/>
      <c r="D404" s="20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21" t="n"/>
      <c r="O404" s="19" t="n"/>
      <c r="P404" s="19" t="n"/>
      <c r="Q404" s="19" t="n"/>
      <c r="R404" s="19" t="n"/>
      <c r="S404" s="18">
        <f>IF(D404="","",INDEX(Guide!$B$18:$B$25,MATCH(D404,Guide!$A$18:$A$25,1)))</f>
        <v/>
      </c>
      <c r="T404" s="18">
        <f>IF(OR(C404="",P404="",Q404="",R404="",D404=""),"",ROUND(C404*Guide!$B$9+P404*Guide!$B$10+S404*Guide!$B$11+Q404*Guide!$B$12+(100-R404)*Guide!$B$13,1))</f>
        <v/>
      </c>
      <c r="U404" s="18">
        <f>IF(T404="","",IF(T404&gt;=Guide!$B$15,"PRIORITY","Low"))</f>
        <v/>
      </c>
    </row>
    <row r="405">
      <c r="A405" s="19" t="n"/>
      <c r="B405" s="19" t="n"/>
      <c r="C405" s="19" t="n"/>
      <c r="D405" s="20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21" t="n"/>
      <c r="O405" s="19" t="n"/>
      <c r="P405" s="19" t="n"/>
      <c r="Q405" s="19" t="n"/>
      <c r="R405" s="19" t="n"/>
      <c r="S405" s="18">
        <f>IF(D405="","",INDEX(Guide!$B$18:$B$25,MATCH(D405,Guide!$A$18:$A$25,1)))</f>
        <v/>
      </c>
      <c r="T405" s="18">
        <f>IF(OR(C405="",P405="",Q405="",R405="",D405=""),"",ROUND(C405*Guide!$B$9+P405*Guide!$B$10+S405*Guide!$B$11+Q405*Guide!$B$12+(100-R405)*Guide!$B$13,1))</f>
        <v/>
      </c>
      <c r="U405" s="18">
        <f>IF(T405="","",IF(T405&gt;=Guide!$B$15,"PRIORITY","Low"))</f>
        <v/>
      </c>
    </row>
    <row r="406">
      <c r="A406" s="19" t="n"/>
      <c r="B406" s="19" t="n"/>
      <c r="C406" s="19" t="n"/>
      <c r="D406" s="20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21" t="n"/>
      <c r="O406" s="19" t="n"/>
      <c r="P406" s="19" t="n"/>
      <c r="Q406" s="19" t="n"/>
      <c r="R406" s="19" t="n"/>
      <c r="S406" s="18">
        <f>IF(D406="","",INDEX(Guide!$B$18:$B$25,MATCH(D406,Guide!$A$18:$A$25,1)))</f>
        <v/>
      </c>
      <c r="T406" s="18">
        <f>IF(OR(C406="",P406="",Q406="",R406="",D406=""),"",ROUND(C406*Guide!$B$9+P406*Guide!$B$10+S406*Guide!$B$11+Q406*Guide!$B$12+(100-R406)*Guide!$B$13,1))</f>
        <v/>
      </c>
      <c r="U406" s="18">
        <f>IF(T406="","",IF(T406&gt;=Guide!$B$15,"PRIORITY","Low"))</f>
        <v/>
      </c>
    </row>
    <row r="407">
      <c r="A407" s="19" t="n"/>
      <c r="B407" s="19" t="n"/>
      <c r="C407" s="19" t="n"/>
      <c r="D407" s="20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21" t="n"/>
      <c r="O407" s="19" t="n"/>
      <c r="P407" s="19" t="n"/>
      <c r="Q407" s="19" t="n"/>
      <c r="R407" s="19" t="n"/>
      <c r="S407" s="18">
        <f>IF(D407="","",INDEX(Guide!$B$18:$B$25,MATCH(D407,Guide!$A$18:$A$25,1)))</f>
        <v/>
      </c>
      <c r="T407" s="18">
        <f>IF(OR(C407="",P407="",Q407="",R407="",D407=""),"",ROUND(C407*Guide!$B$9+P407*Guide!$B$10+S407*Guide!$B$11+Q407*Guide!$B$12+(100-R407)*Guide!$B$13,1))</f>
        <v/>
      </c>
      <c r="U407" s="18">
        <f>IF(T407="","",IF(T407&gt;=Guide!$B$15,"PRIORITY","Low"))</f>
        <v/>
      </c>
    </row>
    <row r="408">
      <c r="A408" s="19" t="n"/>
      <c r="B408" s="19" t="n"/>
      <c r="C408" s="19" t="n"/>
      <c r="D408" s="20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21" t="n"/>
      <c r="O408" s="19" t="n"/>
      <c r="P408" s="19" t="n"/>
      <c r="Q408" s="19" t="n"/>
      <c r="R408" s="19" t="n"/>
      <c r="S408" s="18">
        <f>IF(D408="","",INDEX(Guide!$B$18:$B$25,MATCH(D408,Guide!$A$18:$A$25,1)))</f>
        <v/>
      </c>
      <c r="T408" s="18">
        <f>IF(OR(C408="",P408="",Q408="",R408="",D408=""),"",ROUND(C408*Guide!$B$9+P408*Guide!$B$10+S408*Guide!$B$11+Q408*Guide!$B$12+(100-R408)*Guide!$B$13,1))</f>
        <v/>
      </c>
      <c r="U408" s="18">
        <f>IF(T408="","",IF(T408&gt;=Guide!$B$15,"PRIORITY","Low"))</f>
        <v/>
      </c>
    </row>
    <row r="409">
      <c r="A409" s="19" t="n"/>
      <c r="B409" s="19" t="n"/>
      <c r="C409" s="19" t="n"/>
      <c r="D409" s="20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21" t="n"/>
      <c r="O409" s="19" t="n"/>
      <c r="P409" s="19" t="n"/>
      <c r="Q409" s="19" t="n"/>
      <c r="R409" s="19" t="n"/>
      <c r="S409" s="18">
        <f>IF(D409="","",INDEX(Guide!$B$18:$B$25,MATCH(D409,Guide!$A$18:$A$25,1)))</f>
        <v/>
      </c>
      <c r="T409" s="18">
        <f>IF(OR(C409="",P409="",Q409="",R409="",D409=""),"",ROUND(C409*Guide!$B$9+P409*Guide!$B$10+S409*Guide!$B$11+Q409*Guide!$B$12+(100-R409)*Guide!$B$13,1))</f>
        <v/>
      </c>
      <c r="U409" s="18">
        <f>IF(T409="","",IF(T409&gt;=Guide!$B$15,"PRIORITY","Low"))</f>
        <v/>
      </c>
    </row>
    <row r="410">
      <c r="A410" s="19" t="n"/>
      <c r="B410" s="19" t="n"/>
      <c r="C410" s="19" t="n"/>
      <c r="D410" s="20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21" t="n"/>
      <c r="O410" s="19" t="n"/>
      <c r="P410" s="19" t="n"/>
      <c r="Q410" s="19" t="n"/>
      <c r="R410" s="19" t="n"/>
      <c r="S410" s="18">
        <f>IF(D410="","",INDEX(Guide!$B$18:$B$25,MATCH(D410,Guide!$A$18:$A$25,1)))</f>
        <v/>
      </c>
      <c r="T410" s="18">
        <f>IF(OR(C410="",P410="",Q410="",R410="",D410=""),"",ROUND(C410*Guide!$B$9+P410*Guide!$B$10+S410*Guide!$B$11+Q410*Guide!$B$12+(100-R410)*Guide!$B$13,1))</f>
        <v/>
      </c>
      <c r="U410" s="18">
        <f>IF(T410="","",IF(T410&gt;=Guide!$B$15,"PRIORITY","Low"))</f>
        <v/>
      </c>
    </row>
    <row r="411">
      <c r="A411" s="19" t="n"/>
      <c r="B411" s="19" t="n"/>
      <c r="C411" s="19" t="n"/>
      <c r="D411" s="20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21" t="n"/>
      <c r="O411" s="19" t="n"/>
      <c r="P411" s="19" t="n"/>
      <c r="Q411" s="19" t="n"/>
      <c r="R411" s="19" t="n"/>
      <c r="S411" s="18">
        <f>IF(D411="","",INDEX(Guide!$B$18:$B$25,MATCH(D411,Guide!$A$18:$A$25,1)))</f>
        <v/>
      </c>
      <c r="T411" s="18">
        <f>IF(OR(C411="",P411="",Q411="",R411="",D411=""),"",ROUND(C411*Guide!$B$9+P411*Guide!$B$10+S411*Guide!$B$11+Q411*Guide!$B$12+(100-R411)*Guide!$B$13,1))</f>
        <v/>
      </c>
      <c r="U411" s="18">
        <f>IF(T411="","",IF(T411&gt;=Guide!$B$15,"PRIORITY","Low"))</f>
        <v/>
      </c>
    </row>
    <row r="412">
      <c r="A412" s="19" t="n"/>
      <c r="B412" s="19" t="n"/>
      <c r="C412" s="19" t="n"/>
      <c r="D412" s="20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21" t="n"/>
      <c r="O412" s="19" t="n"/>
      <c r="P412" s="19" t="n"/>
      <c r="Q412" s="19" t="n"/>
      <c r="R412" s="19" t="n"/>
      <c r="S412" s="18">
        <f>IF(D412="","",INDEX(Guide!$B$18:$B$25,MATCH(D412,Guide!$A$18:$A$25,1)))</f>
        <v/>
      </c>
      <c r="T412" s="18">
        <f>IF(OR(C412="",P412="",Q412="",R412="",D412=""),"",ROUND(C412*Guide!$B$9+P412*Guide!$B$10+S412*Guide!$B$11+Q412*Guide!$B$12+(100-R412)*Guide!$B$13,1))</f>
        <v/>
      </c>
      <c r="U412" s="18">
        <f>IF(T412="","",IF(T412&gt;=Guide!$B$15,"PRIORITY","Low"))</f>
        <v/>
      </c>
    </row>
    <row r="413">
      <c r="A413" s="19" t="n"/>
      <c r="B413" s="19" t="n"/>
      <c r="C413" s="19" t="n"/>
      <c r="D413" s="20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21" t="n"/>
      <c r="O413" s="19" t="n"/>
      <c r="P413" s="19" t="n"/>
      <c r="Q413" s="19" t="n"/>
      <c r="R413" s="19" t="n"/>
      <c r="S413" s="18">
        <f>IF(D413="","",INDEX(Guide!$B$18:$B$25,MATCH(D413,Guide!$A$18:$A$25,1)))</f>
        <v/>
      </c>
      <c r="T413" s="18">
        <f>IF(OR(C413="",P413="",Q413="",R413="",D413=""),"",ROUND(C413*Guide!$B$9+P413*Guide!$B$10+S413*Guide!$B$11+Q413*Guide!$B$12+(100-R413)*Guide!$B$13,1))</f>
        <v/>
      </c>
      <c r="U413" s="18">
        <f>IF(T413="","",IF(T413&gt;=Guide!$B$15,"PRIORITY","Low"))</f>
        <v/>
      </c>
    </row>
    <row r="414">
      <c r="A414" s="19" t="n"/>
      <c r="B414" s="19" t="n"/>
      <c r="C414" s="19" t="n"/>
      <c r="D414" s="20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21" t="n"/>
      <c r="O414" s="19" t="n"/>
      <c r="P414" s="19" t="n"/>
      <c r="Q414" s="19" t="n"/>
      <c r="R414" s="19" t="n"/>
      <c r="S414" s="18">
        <f>IF(D414="","",INDEX(Guide!$B$18:$B$25,MATCH(D414,Guide!$A$18:$A$25,1)))</f>
        <v/>
      </c>
      <c r="T414" s="18">
        <f>IF(OR(C414="",P414="",Q414="",R414="",D414=""),"",ROUND(C414*Guide!$B$9+P414*Guide!$B$10+S414*Guide!$B$11+Q414*Guide!$B$12+(100-R414)*Guide!$B$13,1))</f>
        <v/>
      </c>
      <c r="U414" s="18">
        <f>IF(T414="","",IF(T414&gt;=Guide!$B$15,"PRIORITY","Low"))</f>
        <v/>
      </c>
    </row>
    <row r="415">
      <c r="A415" s="19" t="n"/>
      <c r="B415" s="19" t="n"/>
      <c r="C415" s="19" t="n"/>
      <c r="D415" s="20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21" t="n"/>
      <c r="O415" s="19" t="n"/>
      <c r="P415" s="19" t="n"/>
      <c r="Q415" s="19" t="n"/>
      <c r="R415" s="19" t="n"/>
      <c r="S415" s="18">
        <f>IF(D415="","",INDEX(Guide!$B$18:$B$25,MATCH(D415,Guide!$A$18:$A$25,1)))</f>
        <v/>
      </c>
      <c r="T415" s="18">
        <f>IF(OR(C415="",P415="",Q415="",R415="",D415=""),"",ROUND(C415*Guide!$B$9+P415*Guide!$B$10+S415*Guide!$B$11+Q415*Guide!$B$12+(100-R415)*Guide!$B$13,1))</f>
        <v/>
      </c>
      <c r="U415" s="18">
        <f>IF(T415="","",IF(T415&gt;=Guide!$B$15,"PRIORITY","Low"))</f>
        <v/>
      </c>
    </row>
    <row r="416">
      <c r="A416" s="19" t="n"/>
      <c r="B416" s="19" t="n"/>
      <c r="C416" s="19" t="n"/>
      <c r="D416" s="20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21" t="n"/>
      <c r="O416" s="19" t="n"/>
      <c r="P416" s="19" t="n"/>
      <c r="Q416" s="19" t="n"/>
      <c r="R416" s="19" t="n"/>
      <c r="S416" s="18">
        <f>IF(D416="","",INDEX(Guide!$B$18:$B$25,MATCH(D416,Guide!$A$18:$A$25,1)))</f>
        <v/>
      </c>
      <c r="T416" s="18">
        <f>IF(OR(C416="",P416="",Q416="",R416="",D416=""),"",ROUND(C416*Guide!$B$9+P416*Guide!$B$10+S416*Guide!$B$11+Q416*Guide!$B$12+(100-R416)*Guide!$B$13,1))</f>
        <v/>
      </c>
      <c r="U416" s="18">
        <f>IF(T416="","",IF(T416&gt;=Guide!$B$15,"PRIORITY","Low"))</f>
        <v/>
      </c>
    </row>
    <row r="417">
      <c r="A417" s="19" t="n"/>
      <c r="B417" s="19" t="n"/>
      <c r="C417" s="19" t="n"/>
      <c r="D417" s="20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21" t="n"/>
      <c r="O417" s="19" t="n"/>
      <c r="P417" s="19" t="n"/>
      <c r="Q417" s="19" t="n"/>
      <c r="R417" s="19" t="n"/>
      <c r="S417" s="18">
        <f>IF(D417="","",INDEX(Guide!$B$18:$B$25,MATCH(D417,Guide!$A$18:$A$25,1)))</f>
        <v/>
      </c>
      <c r="T417" s="18">
        <f>IF(OR(C417="",P417="",Q417="",R417="",D417=""),"",ROUND(C417*Guide!$B$9+P417*Guide!$B$10+S417*Guide!$B$11+Q417*Guide!$B$12+(100-R417)*Guide!$B$13,1))</f>
        <v/>
      </c>
      <c r="U417" s="18">
        <f>IF(T417="","",IF(T417&gt;=Guide!$B$15,"PRIORITY","Low"))</f>
        <v/>
      </c>
    </row>
    <row r="418">
      <c r="A418" s="19" t="n"/>
      <c r="B418" s="19" t="n"/>
      <c r="C418" s="19" t="n"/>
      <c r="D418" s="20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21" t="n"/>
      <c r="O418" s="19" t="n"/>
      <c r="P418" s="19" t="n"/>
      <c r="Q418" s="19" t="n"/>
      <c r="R418" s="19" t="n"/>
      <c r="S418" s="18">
        <f>IF(D418="","",INDEX(Guide!$B$18:$B$25,MATCH(D418,Guide!$A$18:$A$25,1)))</f>
        <v/>
      </c>
      <c r="T418" s="18">
        <f>IF(OR(C418="",P418="",Q418="",R418="",D418=""),"",ROUND(C418*Guide!$B$9+P418*Guide!$B$10+S418*Guide!$B$11+Q418*Guide!$B$12+(100-R418)*Guide!$B$13,1))</f>
        <v/>
      </c>
      <c r="U418" s="18">
        <f>IF(T418="","",IF(T418&gt;=Guide!$B$15,"PRIORITY","Low"))</f>
        <v/>
      </c>
    </row>
    <row r="419">
      <c r="A419" s="19" t="n"/>
      <c r="B419" s="19" t="n"/>
      <c r="C419" s="19" t="n"/>
      <c r="D419" s="20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21" t="n"/>
      <c r="O419" s="19" t="n"/>
      <c r="P419" s="19" t="n"/>
      <c r="Q419" s="19" t="n"/>
      <c r="R419" s="19" t="n"/>
      <c r="S419" s="18">
        <f>IF(D419="","",INDEX(Guide!$B$18:$B$25,MATCH(D419,Guide!$A$18:$A$25,1)))</f>
        <v/>
      </c>
      <c r="T419" s="18">
        <f>IF(OR(C419="",P419="",Q419="",R419="",D419=""),"",ROUND(C419*Guide!$B$9+P419*Guide!$B$10+S419*Guide!$B$11+Q419*Guide!$B$12+(100-R419)*Guide!$B$13,1))</f>
        <v/>
      </c>
      <c r="U419" s="18">
        <f>IF(T419="","",IF(T419&gt;=Guide!$B$15,"PRIORITY","Low"))</f>
        <v/>
      </c>
    </row>
    <row r="420">
      <c r="A420" s="19" t="n"/>
      <c r="B420" s="19" t="n"/>
      <c r="C420" s="19" t="n"/>
      <c r="D420" s="20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21" t="n"/>
      <c r="O420" s="19" t="n"/>
      <c r="P420" s="19" t="n"/>
      <c r="Q420" s="19" t="n"/>
      <c r="R420" s="19" t="n"/>
      <c r="S420" s="18">
        <f>IF(D420="","",INDEX(Guide!$B$18:$B$25,MATCH(D420,Guide!$A$18:$A$25,1)))</f>
        <v/>
      </c>
      <c r="T420" s="18">
        <f>IF(OR(C420="",P420="",Q420="",R420="",D420=""),"",ROUND(C420*Guide!$B$9+P420*Guide!$B$10+S420*Guide!$B$11+Q420*Guide!$B$12+(100-R420)*Guide!$B$13,1))</f>
        <v/>
      </c>
      <c r="U420" s="18">
        <f>IF(T420="","",IF(T420&gt;=Guide!$B$15,"PRIORITY","Low"))</f>
        <v/>
      </c>
    </row>
    <row r="421">
      <c r="A421" s="19" t="n"/>
      <c r="B421" s="19" t="n"/>
      <c r="C421" s="19" t="n"/>
      <c r="D421" s="20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21" t="n"/>
      <c r="O421" s="19" t="n"/>
      <c r="P421" s="19" t="n"/>
      <c r="Q421" s="19" t="n"/>
      <c r="R421" s="19" t="n"/>
      <c r="S421" s="18">
        <f>IF(D421="","",INDEX(Guide!$B$18:$B$25,MATCH(D421,Guide!$A$18:$A$25,1)))</f>
        <v/>
      </c>
      <c r="T421" s="18">
        <f>IF(OR(C421="",P421="",Q421="",R421="",D421=""),"",ROUND(C421*Guide!$B$9+P421*Guide!$B$10+S421*Guide!$B$11+Q421*Guide!$B$12+(100-R421)*Guide!$B$13,1))</f>
        <v/>
      </c>
      <c r="U421" s="18">
        <f>IF(T421="","",IF(T421&gt;=Guide!$B$15,"PRIORITY","Low"))</f>
        <v/>
      </c>
    </row>
    <row r="422">
      <c r="A422" s="19" t="n"/>
      <c r="B422" s="19" t="n"/>
      <c r="C422" s="19" t="n"/>
      <c r="D422" s="20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21" t="n"/>
      <c r="O422" s="19" t="n"/>
      <c r="P422" s="19" t="n"/>
      <c r="Q422" s="19" t="n"/>
      <c r="R422" s="19" t="n"/>
      <c r="S422" s="18">
        <f>IF(D422="","",INDEX(Guide!$B$18:$B$25,MATCH(D422,Guide!$A$18:$A$25,1)))</f>
        <v/>
      </c>
      <c r="T422" s="18">
        <f>IF(OR(C422="",P422="",Q422="",R422="",D422=""),"",ROUND(C422*Guide!$B$9+P422*Guide!$B$10+S422*Guide!$B$11+Q422*Guide!$B$12+(100-R422)*Guide!$B$13,1))</f>
        <v/>
      </c>
      <c r="U422" s="18">
        <f>IF(T422="","",IF(T422&gt;=Guide!$B$15,"PRIORITY","Low"))</f>
        <v/>
      </c>
    </row>
    <row r="423">
      <c r="A423" s="19" t="n"/>
      <c r="B423" s="19" t="n"/>
      <c r="C423" s="19" t="n"/>
      <c r="D423" s="20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21" t="n"/>
      <c r="O423" s="19" t="n"/>
      <c r="P423" s="19" t="n"/>
      <c r="Q423" s="19" t="n"/>
      <c r="R423" s="19" t="n"/>
      <c r="S423" s="18">
        <f>IF(D423="","",INDEX(Guide!$B$18:$B$25,MATCH(D423,Guide!$A$18:$A$25,1)))</f>
        <v/>
      </c>
      <c r="T423" s="18">
        <f>IF(OR(C423="",P423="",Q423="",R423="",D423=""),"",ROUND(C423*Guide!$B$9+P423*Guide!$B$10+S423*Guide!$B$11+Q423*Guide!$B$12+(100-R423)*Guide!$B$13,1))</f>
        <v/>
      </c>
      <c r="U423" s="18">
        <f>IF(T423="","",IF(T423&gt;=Guide!$B$15,"PRIORITY","Low"))</f>
        <v/>
      </c>
    </row>
    <row r="424">
      <c r="A424" s="19" t="n"/>
      <c r="B424" s="19" t="n"/>
      <c r="C424" s="19" t="n"/>
      <c r="D424" s="20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21" t="n"/>
      <c r="O424" s="19" t="n"/>
      <c r="P424" s="19" t="n"/>
      <c r="Q424" s="19" t="n"/>
      <c r="R424" s="19" t="n"/>
      <c r="S424" s="18">
        <f>IF(D424="","",INDEX(Guide!$B$18:$B$25,MATCH(D424,Guide!$A$18:$A$25,1)))</f>
        <v/>
      </c>
      <c r="T424" s="18">
        <f>IF(OR(C424="",P424="",Q424="",R424="",D424=""),"",ROUND(C424*Guide!$B$9+P424*Guide!$B$10+S424*Guide!$B$11+Q424*Guide!$B$12+(100-R424)*Guide!$B$13,1))</f>
        <v/>
      </c>
      <c r="U424" s="18">
        <f>IF(T424="","",IF(T424&gt;=Guide!$B$15,"PRIORITY","Low"))</f>
        <v/>
      </c>
    </row>
    <row r="425">
      <c r="A425" s="19" t="n"/>
      <c r="B425" s="19" t="n"/>
      <c r="C425" s="19" t="n"/>
      <c r="D425" s="20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21" t="n"/>
      <c r="O425" s="19" t="n"/>
      <c r="P425" s="19" t="n"/>
      <c r="Q425" s="19" t="n"/>
      <c r="R425" s="19" t="n"/>
      <c r="S425" s="18">
        <f>IF(D425="","",INDEX(Guide!$B$18:$B$25,MATCH(D425,Guide!$A$18:$A$25,1)))</f>
        <v/>
      </c>
      <c r="T425" s="18">
        <f>IF(OR(C425="",P425="",Q425="",R425="",D425=""),"",ROUND(C425*Guide!$B$9+P425*Guide!$B$10+S425*Guide!$B$11+Q425*Guide!$B$12+(100-R425)*Guide!$B$13,1))</f>
        <v/>
      </c>
      <c r="U425" s="18">
        <f>IF(T425="","",IF(T425&gt;=Guide!$B$15,"PRIORITY","Low"))</f>
        <v/>
      </c>
    </row>
    <row r="426">
      <c r="A426" s="19" t="n"/>
      <c r="B426" s="19" t="n"/>
      <c r="C426" s="19" t="n"/>
      <c r="D426" s="20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21" t="n"/>
      <c r="O426" s="19" t="n"/>
      <c r="P426" s="19" t="n"/>
      <c r="Q426" s="19" t="n"/>
      <c r="R426" s="19" t="n"/>
      <c r="S426" s="18">
        <f>IF(D426="","",INDEX(Guide!$B$18:$B$25,MATCH(D426,Guide!$A$18:$A$25,1)))</f>
        <v/>
      </c>
      <c r="T426" s="18">
        <f>IF(OR(C426="",P426="",Q426="",R426="",D426=""),"",ROUND(C426*Guide!$B$9+P426*Guide!$B$10+S426*Guide!$B$11+Q426*Guide!$B$12+(100-R426)*Guide!$B$13,1))</f>
        <v/>
      </c>
      <c r="U426" s="18">
        <f>IF(T426="","",IF(T426&gt;=Guide!$B$15,"PRIORITY","Low"))</f>
        <v/>
      </c>
    </row>
    <row r="427">
      <c r="A427" s="19" t="n"/>
      <c r="B427" s="19" t="n"/>
      <c r="C427" s="19" t="n"/>
      <c r="D427" s="20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21" t="n"/>
      <c r="O427" s="19" t="n"/>
      <c r="P427" s="19" t="n"/>
      <c r="Q427" s="19" t="n"/>
      <c r="R427" s="19" t="n"/>
      <c r="S427" s="18">
        <f>IF(D427="","",INDEX(Guide!$B$18:$B$25,MATCH(D427,Guide!$A$18:$A$25,1)))</f>
        <v/>
      </c>
      <c r="T427" s="18">
        <f>IF(OR(C427="",P427="",Q427="",R427="",D427=""),"",ROUND(C427*Guide!$B$9+P427*Guide!$B$10+S427*Guide!$B$11+Q427*Guide!$B$12+(100-R427)*Guide!$B$13,1))</f>
        <v/>
      </c>
      <c r="U427" s="18">
        <f>IF(T427="","",IF(T427&gt;=Guide!$B$15,"PRIORITY","Low"))</f>
        <v/>
      </c>
    </row>
    <row r="428">
      <c r="A428" s="19" t="n"/>
      <c r="B428" s="19" t="n"/>
      <c r="C428" s="19" t="n"/>
      <c r="D428" s="20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21" t="n"/>
      <c r="O428" s="19" t="n"/>
      <c r="P428" s="19" t="n"/>
      <c r="Q428" s="19" t="n"/>
      <c r="R428" s="19" t="n"/>
      <c r="S428" s="18">
        <f>IF(D428="","",INDEX(Guide!$B$18:$B$25,MATCH(D428,Guide!$A$18:$A$25,1)))</f>
        <v/>
      </c>
      <c r="T428" s="18">
        <f>IF(OR(C428="",P428="",Q428="",R428="",D428=""),"",ROUND(C428*Guide!$B$9+P428*Guide!$B$10+S428*Guide!$B$11+Q428*Guide!$B$12+(100-R428)*Guide!$B$13,1))</f>
        <v/>
      </c>
      <c r="U428" s="18">
        <f>IF(T428="","",IF(T428&gt;=Guide!$B$15,"PRIORITY","Low"))</f>
        <v/>
      </c>
    </row>
    <row r="429">
      <c r="A429" s="19" t="n"/>
      <c r="B429" s="19" t="n"/>
      <c r="C429" s="19" t="n"/>
      <c r="D429" s="20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21" t="n"/>
      <c r="O429" s="19" t="n"/>
      <c r="P429" s="19" t="n"/>
      <c r="Q429" s="19" t="n"/>
      <c r="R429" s="19" t="n"/>
      <c r="S429" s="18">
        <f>IF(D429="","",INDEX(Guide!$B$18:$B$25,MATCH(D429,Guide!$A$18:$A$25,1)))</f>
        <v/>
      </c>
      <c r="T429" s="18">
        <f>IF(OR(C429="",P429="",Q429="",R429="",D429=""),"",ROUND(C429*Guide!$B$9+P429*Guide!$B$10+S429*Guide!$B$11+Q429*Guide!$B$12+(100-R429)*Guide!$B$13,1))</f>
        <v/>
      </c>
      <c r="U429" s="18">
        <f>IF(T429="","",IF(T429&gt;=Guide!$B$15,"PRIORITY","Low"))</f>
        <v/>
      </c>
    </row>
    <row r="430">
      <c r="A430" s="19" t="n"/>
      <c r="B430" s="19" t="n"/>
      <c r="C430" s="19" t="n"/>
      <c r="D430" s="20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21" t="n"/>
      <c r="O430" s="19" t="n"/>
      <c r="P430" s="19" t="n"/>
      <c r="Q430" s="19" t="n"/>
      <c r="R430" s="19" t="n"/>
      <c r="S430" s="18">
        <f>IF(D430="","",INDEX(Guide!$B$18:$B$25,MATCH(D430,Guide!$A$18:$A$25,1)))</f>
        <v/>
      </c>
      <c r="T430" s="18">
        <f>IF(OR(C430="",P430="",Q430="",R430="",D430=""),"",ROUND(C430*Guide!$B$9+P430*Guide!$B$10+S430*Guide!$B$11+Q430*Guide!$B$12+(100-R430)*Guide!$B$13,1))</f>
        <v/>
      </c>
      <c r="U430" s="18">
        <f>IF(T430="","",IF(T430&gt;=Guide!$B$15,"PRIORITY","Low"))</f>
        <v/>
      </c>
    </row>
    <row r="431">
      <c r="A431" s="19" t="n"/>
      <c r="B431" s="19" t="n"/>
      <c r="C431" s="19" t="n"/>
      <c r="D431" s="20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21" t="n"/>
      <c r="O431" s="19" t="n"/>
      <c r="P431" s="19" t="n"/>
      <c r="Q431" s="19" t="n"/>
      <c r="R431" s="19" t="n"/>
      <c r="S431" s="18">
        <f>IF(D431="","",INDEX(Guide!$B$18:$B$25,MATCH(D431,Guide!$A$18:$A$25,1)))</f>
        <v/>
      </c>
      <c r="T431" s="18">
        <f>IF(OR(C431="",P431="",Q431="",R431="",D431=""),"",ROUND(C431*Guide!$B$9+P431*Guide!$B$10+S431*Guide!$B$11+Q431*Guide!$B$12+(100-R431)*Guide!$B$13,1))</f>
        <v/>
      </c>
      <c r="U431" s="18">
        <f>IF(T431="","",IF(T431&gt;=Guide!$B$15,"PRIORITY","Low"))</f>
        <v/>
      </c>
    </row>
    <row r="432">
      <c r="A432" s="19" t="n"/>
      <c r="B432" s="19" t="n"/>
      <c r="C432" s="19" t="n"/>
      <c r="D432" s="20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21" t="n"/>
      <c r="O432" s="19" t="n"/>
      <c r="P432" s="19" t="n"/>
      <c r="Q432" s="19" t="n"/>
      <c r="R432" s="19" t="n"/>
      <c r="S432" s="18">
        <f>IF(D432="","",INDEX(Guide!$B$18:$B$25,MATCH(D432,Guide!$A$18:$A$25,1)))</f>
        <v/>
      </c>
      <c r="T432" s="18">
        <f>IF(OR(C432="",P432="",Q432="",R432="",D432=""),"",ROUND(C432*Guide!$B$9+P432*Guide!$B$10+S432*Guide!$B$11+Q432*Guide!$B$12+(100-R432)*Guide!$B$13,1))</f>
        <v/>
      </c>
      <c r="U432" s="18">
        <f>IF(T432="","",IF(T432&gt;=Guide!$B$15,"PRIORITY","Low"))</f>
        <v/>
      </c>
    </row>
    <row r="433">
      <c r="A433" s="19" t="n"/>
      <c r="B433" s="19" t="n"/>
      <c r="C433" s="19" t="n"/>
      <c r="D433" s="20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21" t="n"/>
      <c r="O433" s="19" t="n"/>
      <c r="P433" s="19" t="n"/>
      <c r="Q433" s="19" t="n"/>
      <c r="R433" s="19" t="n"/>
      <c r="S433" s="18">
        <f>IF(D433="","",INDEX(Guide!$B$18:$B$25,MATCH(D433,Guide!$A$18:$A$25,1)))</f>
        <v/>
      </c>
      <c r="T433" s="18">
        <f>IF(OR(C433="",P433="",Q433="",R433="",D433=""),"",ROUND(C433*Guide!$B$9+P433*Guide!$B$10+S433*Guide!$B$11+Q433*Guide!$B$12+(100-R433)*Guide!$B$13,1))</f>
        <v/>
      </c>
      <c r="U433" s="18">
        <f>IF(T433="","",IF(T433&gt;=Guide!$B$15,"PRIORITY","Low"))</f>
        <v/>
      </c>
    </row>
    <row r="434">
      <c r="A434" s="19" t="n"/>
      <c r="B434" s="19" t="n"/>
      <c r="C434" s="19" t="n"/>
      <c r="D434" s="20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21" t="n"/>
      <c r="O434" s="19" t="n"/>
      <c r="P434" s="19" t="n"/>
      <c r="Q434" s="19" t="n"/>
      <c r="R434" s="19" t="n"/>
      <c r="S434" s="18">
        <f>IF(D434="","",INDEX(Guide!$B$18:$B$25,MATCH(D434,Guide!$A$18:$A$25,1)))</f>
        <v/>
      </c>
      <c r="T434" s="18">
        <f>IF(OR(C434="",P434="",Q434="",R434="",D434=""),"",ROUND(C434*Guide!$B$9+P434*Guide!$B$10+S434*Guide!$B$11+Q434*Guide!$B$12+(100-R434)*Guide!$B$13,1))</f>
        <v/>
      </c>
      <c r="U434" s="18">
        <f>IF(T434="","",IF(T434&gt;=Guide!$B$15,"PRIORITY","Low"))</f>
        <v/>
      </c>
    </row>
    <row r="435">
      <c r="A435" s="19" t="n"/>
      <c r="B435" s="19" t="n"/>
      <c r="C435" s="19" t="n"/>
      <c r="D435" s="20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21" t="n"/>
      <c r="O435" s="19" t="n"/>
      <c r="P435" s="19" t="n"/>
      <c r="Q435" s="19" t="n"/>
      <c r="R435" s="19" t="n"/>
      <c r="S435" s="18">
        <f>IF(D435="","",INDEX(Guide!$B$18:$B$25,MATCH(D435,Guide!$A$18:$A$25,1)))</f>
        <v/>
      </c>
      <c r="T435" s="18">
        <f>IF(OR(C435="",P435="",Q435="",R435="",D435=""),"",ROUND(C435*Guide!$B$9+P435*Guide!$B$10+S435*Guide!$B$11+Q435*Guide!$B$12+(100-R435)*Guide!$B$13,1))</f>
        <v/>
      </c>
      <c r="U435" s="18">
        <f>IF(T435="","",IF(T435&gt;=Guide!$B$15,"PRIORITY","Low"))</f>
        <v/>
      </c>
    </row>
    <row r="436">
      <c r="A436" s="19" t="n"/>
      <c r="B436" s="19" t="n"/>
      <c r="C436" s="19" t="n"/>
      <c r="D436" s="20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21" t="n"/>
      <c r="O436" s="19" t="n"/>
      <c r="P436" s="19" t="n"/>
      <c r="Q436" s="19" t="n"/>
      <c r="R436" s="19" t="n"/>
      <c r="S436" s="18">
        <f>IF(D436="","",INDEX(Guide!$B$18:$B$25,MATCH(D436,Guide!$A$18:$A$25,1)))</f>
        <v/>
      </c>
      <c r="T436" s="18">
        <f>IF(OR(C436="",P436="",Q436="",R436="",D436=""),"",ROUND(C436*Guide!$B$9+P436*Guide!$B$10+S436*Guide!$B$11+Q436*Guide!$B$12+(100-R436)*Guide!$B$13,1))</f>
        <v/>
      </c>
      <c r="U436" s="18">
        <f>IF(T436="","",IF(T436&gt;=Guide!$B$15,"PRIORITY","Low"))</f>
        <v/>
      </c>
    </row>
    <row r="437">
      <c r="A437" s="19" t="n"/>
      <c r="B437" s="19" t="n"/>
      <c r="C437" s="19" t="n"/>
      <c r="D437" s="20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21" t="n"/>
      <c r="O437" s="19" t="n"/>
      <c r="P437" s="19" t="n"/>
      <c r="Q437" s="19" t="n"/>
      <c r="R437" s="19" t="n"/>
      <c r="S437" s="18">
        <f>IF(D437="","",INDEX(Guide!$B$18:$B$25,MATCH(D437,Guide!$A$18:$A$25,1)))</f>
        <v/>
      </c>
      <c r="T437" s="18">
        <f>IF(OR(C437="",P437="",Q437="",R437="",D437=""),"",ROUND(C437*Guide!$B$9+P437*Guide!$B$10+S437*Guide!$B$11+Q437*Guide!$B$12+(100-R437)*Guide!$B$13,1))</f>
        <v/>
      </c>
      <c r="U437" s="18">
        <f>IF(T437="","",IF(T437&gt;=Guide!$B$15,"PRIORITY","Low"))</f>
        <v/>
      </c>
    </row>
    <row r="438">
      <c r="A438" s="19" t="n"/>
      <c r="B438" s="19" t="n"/>
      <c r="C438" s="19" t="n"/>
      <c r="D438" s="20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21" t="n"/>
      <c r="O438" s="19" t="n"/>
      <c r="P438" s="19" t="n"/>
      <c r="Q438" s="19" t="n"/>
      <c r="R438" s="19" t="n"/>
      <c r="S438" s="18">
        <f>IF(D438="","",INDEX(Guide!$B$18:$B$25,MATCH(D438,Guide!$A$18:$A$25,1)))</f>
        <v/>
      </c>
      <c r="T438" s="18">
        <f>IF(OR(C438="",P438="",Q438="",R438="",D438=""),"",ROUND(C438*Guide!$B$9+P438*Guide!$B$10+S438*Guide!$B$11+Q438*Guide!$B$12+(100-R438)*Guide!$B$13,1))</f>
        <v/>
      </c>
      <c r="U438" s="18">
        <f>IF(T438="","",IF(T438&gt;=Guide!$B$15,"PRIORITY","Low"))</f>
        <v/>
      </c>
    </row>
    <row r="439">
      <c r="A439" s="19" t="n"/>
      <c r="B439" s="19" t="n"/>
      <c r="C439" s="19" t="n"/>
      <c r="D439" s="20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21" t="n"/>
      <c r="O439" s="19" t="n"/>
      <c r="P439" s="19" t="n"/>
      <c r="Q439" s="19" t="n"/>
      <c r="R439" s="19" t="n"/>
      <c r="S439" s="18">
        <f>IF(D439="","",INDEX(Guide!$B$18:$B$25,MATCH(D439,Guide!$A$18:$A$25,1)))</f>
        <v/>
      </c>
      <c r="T439" s="18">
        <f>IF(OR(C439="",P439="",Q439="",R439="",D439=""),"",ROUND(C439*Guide!$B$9+P439*Guide!$B$10+S439*Guide!$B$11+Q439*Guide!$B$12+(100-R439)*Guide!$B$13,1))</f>
        <v/>
      </c>
      <c r="U439" s="18">
        <f>IF(T439="","",IF(T439&gt;=Guide!$B$15,"PRIORITY","Low"))</f>
        <v/>
      </c>
    </row>
    <row r="440">
      <c r="A440" s="19" t="n"/>
      <c r="B440" s="19" t="n"/>
      <c r="C440" s="19" t="n"/>
      <c r="D440" s="20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21" t="n"/>
      <c r="O440" s="19" t="n"/>
      <c r="P440" s="19" t="n"/>
      <c r="Q440" s="19" t="n"/>
      <c r="R440" s="19" t="n"/>
      <c r="S440" s="18">
        <f>IF(D440="","",INDEX(Guide!$B$18:$B$25,MATCH(D440,Guide!$A$18:$A$25,1)))</f>
        <v/>
      </c>
      <c r="T440" s="18">
        <f>IF(OR(C440="",P440="",Q440="",R440="",D440=""),"",ROUND(C440*Guide!$B$9+P440*Guide!$B$10+S440*Guide!$B$11+Q440*Guide!$B$12+(100-R440)*Guide!$B$13,1))</f>
        <v/>
      </c>
      <c r="U440" s="18">
        <f>IF(T440="","",IF(T440&gt;=Guide!$B$15,"PRIORITY","Low"))</f>
        <v/>
      </c>
    </row>
    <row r="441">
      <c r="A441" s="19" t="n"/>
      <c r="B441" s="19" t="n"/>
      <c r="C441" s="19" t="n"/>
      <c r="D441" s="20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21" t="n"/>
      <c r="O441" s="19" t="n"/>
      <c r="P441" s="19" t="n"/>
      <c r="Q441" s="19" t="n"/>
      <c r="R441" s="19" t="n"/>
      <c r="S441" s="18">
        <f>IF(D441="","",INDEX(Guide!$B$18:$B$25,MATCH(D441,Guide!$A$18:$A$25,1)))</f>
        <v/>
      </c>
      <c r="T441" s="18">
        <f>IF(OR(C441="",P441="",Q441="",R441="",D441=""),"",ROUND(C441*Guide!$B$9+P441*Guide!$B$10+S441*Guide!$B$11+Q441*Guide!$B$12+(100-R441)*Guide!$B$13,1))</f>
        <v/>
      </c>
      <c r="U441" s="18">
        <f>IF(T441="","",IF(T441&gt;=Guide!$B$15,"PRIORITY","Low"))</f>
        <v/>
      </c>
    </row>
    <row r="442">
      <c r="A442" s="19" t="n"/>
      <c r="B442" s="19" t="n"/>
      <c r="C442" s="19" t="n"/>
      <c r="D442" s="20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21" t="n"/>
      <c r="O442" s="19" t="n"/>
      <c r="P442" s="19" t="n"/>
      <c r="Q442" s="19" t="n"/>
      <c r="R442" s="19" t="n"/>
      <c r="S442" s="18">
        <f>IF(D442="","",INDEX(Guide!$B$18:$B$25,MATCH(D442,Guide!$A$18:$A$25,1)))</f>
        <v/>
      </c>
      <c r="T442" s="18">
        <f>IF(OR(C442="",P442="",Q442="",R442="",D442=""),"",ROUND(C442*Guide!$B$9+P442*Guide!$B$10+S442*Guide!$B$11+Q442*Guide!$B$12+(100-R442)*Guide!$B$13,1))</f>
        <v/>
      </c>
      <c r="U442" s="18">
        <f>IF(T442="","",IF(T442&gt;=Guide!$B$15,"PRIORITY","Low"))</f>
        <v/>
      </c>
    </row>
    <row r="443">
      <c r="A443" s="19" t="n"/>
      <c r="B443" s="19" t="n"/>
      <c r="C443" s="19" t="n"/>
      <c r="D443" s="20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21" t="n"/>
      <c r="O443" s="19" t="n"/>
      <c r="P443" s="19" t="n"/>
      <c r="Q443" s="19" t="n"/>
      <c r="R443" s="19" t="n"/>
      <c r="S443" s="18">
        <f>IF(D443="","",INDEX(Guide!$B$18:$B$25,MATCH(D443,Guide!$A$18:$A$25,1)))</f>
        <v/>
      </c>
      <c r="T443" s="18">
        <f>IF(OR(C443="",P443="",Q443="",R443="",D443=""),"",ROUND(C443*Guide!$B$9+P443*Guide!$B$10+S443*Guide!$B$11+Q443*Guide!$B$12+(100-R443)*Guide!$B$13,1))</f>
        <v/>
      </c>
      <c r="U443" s="18">
        <f>IF(T443="","",IF(T443&gt;=Guide!$B$15,"PRIORITY","Low"))</f>
        <v/>
      </c>
    </row>
    <row r="444">
      <c r="A444" s="19" t="n"/>
      <c r="B444" s="19" t="n"/>
      <c r="C444" s="19" t="n"/>
      <c r="D444" s="20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21" t="n"/>
      <c r="O444" s="19" t="n"/>
      <c r="P444" s="19" t="n"/>
      <c r="Q444" s="19" t="n"/>
      <c r="R444" s="19" t="n"/>
      <c r="S444" s="18">
        <f>IF(D444="","",INDEX(Guide!$B$18:$B$25,MATCH(D444,Guide!$A$18:$A$25,1)))</f>
        <v/>
      </c>
      <c r="T444" s="18">
        <f>IF(OR(C444="",P444="",Q444="",R444="",D444=""),"",ROUND(C444*Guide!$B$9+P444*Guide!$B$10+S444*Guide!$B$11+Q444*Guide!$B$12+(100-R444)*Guide!$B$13,1))</f>
        <v/>
      </c>
      <c r="U444" s="18">
        <f>IF(T444="","",IF(T444&gt;=Guide!$B$15,"PRIORITY","Low"))</f>
        <v/>
      </c>
    </row>
    <row r="445">
      <c r="A445" s="19" t="n"/>
      <c r="B445" s="19" t="n"/>
      <c r="C445" s="19" t="n"/>
      <c r="D445" s="20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21" t="n"/>
      <c r="O445" s="19" t="n"/>
      <c r="P445" s="19" t="n"/>
      <c r="Q445" s="19" t="n"/>
      <c r="R445" s="19" t="n"/>
      <c r="S445" s="18">
        <f>IF(D445="","",INDEX(Guide!$B$18:$B$25,MATCH(D445,Guide!$A$18:$A$25,1)))</f>
        <v/>
      </c>
      <c r="T445" s="18">
        <f>IF(OR(C445="",P445="",Q445="",R445="",D445=""),"",ROUND(C445*Guide!$B$9+P445*Guide!$B$10+S445*Guide!$B$11+Q445*Guide!$B$12+(100-R445)*Guide!$B$13,1))</f>
        <v/>
      </c>
      <c r="U445" s="18">
        <f>IF(T445="","",IF(T445&gt;=Guide!$B$15,"PRIORITY","Low"))</f>
        <v/>
      </c>
    </row>
    <row r="446">
      <c r="A446" s="19" t="n"/>
      <c r="B446" s="19" t="n"/>
      <c r="C446" s="19" t="n"/>
      <c r="D446" s="20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21" t="n"/>
      <c r="O446" s="19" t="n"/>
      <c r="P446" s="19" t="n"/>
      <c r="Q446" s="19" t="n"/>
      <c r="R446" s="19" t="n"/>
      <c r="S446" s="18">
        <f>IF(D446="","",INDEX(Guide!$B$18:$B$25,MATCH(D446,Guide!$A$18:$A$25,1)))</f>
        <v/>
      </c>
      <c r="T446" s="18">
        <f>IF(OR(C446="",P446="",Q446="",R446="",D446=""),"",ROUND(C446*Guide!$B$9+P446*Guide!$B$10+S446*Guide!$B$11+Q446*Guide!$B$12+(100-R446)*Guide!$B$13,1))</f>
        <v/>
      </c>
      <c r="U446" s="18">
        <f>IF(T446="","",IF(T446&gt;=Guide!$B$15,"PRIORITY","Low"))</f>
        <v/>
      </c>
    </row>
    <row r="447">
      <c r="A447" s="19" t="n"/>
      <c r="B447" s="19" t="n"/>
      <c r="C447" s="19" t="n"/>
      <c r="D447" s="20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21" t="n"/>
      <c r="O447" s="19" t="n"/>
      <c r="P447" s="19" t="n"/>
      <c r="Q447" s="19" t="n"/>
      <c r="R447" s="19" t="n"/>
      <c r="S447" s="18">
        <f>IF(D447="","",INDEX(Guide!$B$18:$B$25,MATCH(D447,Guide!$A$18:$A$25,1)))</f>
        <v/>
      </c>
      <c r="T447" s="18">
        <f>IF(OR(C447="",P447="",Q447="",R447="",D447=""),"",ROUND(C447*Guide!$B$9+P447*Guide!$B$10+S447*Guide!$B$11+Q447*Guide!$B$12+(100-R447)*Guide!$B$13,1))</f>
        <v/>
      </c>
      <c r="U447" s="18">
        <f>IF(T447="","",IF(T447&gt;=Guide!$B$15,"PRIORITY","Low"))</f>
        <v/>
      </c>
    </row>
    <row r="448">
      <c r="A448" s="19" t="n"/>
      <c r="B448" s="19" t="n"/>
      <c r="C448" s="19" t="n"/>
      <c r="D448" s="20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21" t="n"/>
      <c r="O448" s="19" t="n"/>
      <c r="P448" s="19" t="n"/>
      <c r="Q448" s="19" t="n"/>
      <c r="R448" s="19" t="n"/>
      <c r="S448" s="18">
        <f>IF(D448="","",INDEX(Guide!$B$18:$B$25,MATCH(D448,Guide!$A$18:$A$25,1)))</f>
        <v/>
      </c>
      <c r="T448" s="18">
        <f>IF(OR(C448="",P448="",Q448="",R448="",D448=""),"",ROUND(C448*Guide!$B$9+P448*Guide!$B$10+S448*Guide!$B$11+Q448*Guide!$B$12+(100-R448)*Guide!$B$13,1))</f>
        <v/>
      </c>
      <c r="U448" s="18">
        <f>IF(T448="","",IF(T448&gt;=Guide!$B$15,"PRIORITY","Low"))</f>
        <v/>
      </c>
    </row>
    <row r="449">
      <c r="A449" s="19" t="n"/>
      <c r="B449" s="19" t="n"/>
      <c r="C449" s="19" t="n"/>
      <c r="D449" s="20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21" t="n"/>
      <c r="O449" s="19" t="n"/>
      <c r="P449" s="19" t="n"/>
      <c r="Q449" s="19" t="n"/>
      <c r="R449" s="19" t="n"/>
      <c r="S449" s="18">
        <f>IF(D449="","",INDEX(Guide!$B$18:$B$25,MATCH(D449,Guide!$A$18:$A$25,1)))</f>
        <v/>
      </c>
      <c r="T449" s="18">
        <f>IF(OR(C449="",P449="",Q449="",R449="",D449=""),"",ROUND(C449*Guide!$B$9+P449*Guide!$B$10+S449*Guide!$B$11+Q449*Guide!$B$12+(100-R449)*Guide!$B$13,1))</f>
        <v/>
      </c>
      <c r="U449" s="18">
        <f>IF(T449="","",IF(T449&gt;=Guide!$B$15,"PRIORITY","Low"))</f>
        <v/>
      </c>
    </row>
    <row r="450">
      <c r="A450" s="19" t="n"/>
      <c r="B450" s="19" t="n"/>
      <c r="C450" s="19" t="n"/>
      <c r="D450" s="20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21" t="n"/>
      <c r="O450" s="19" t="n"/>
      <c r="P450" s="19" t="n"/>
      <c r="Q450" s="19" t="n"/>
      <c r="R450" s="19" t="n"/>
      <c r="S450" s="18">
        <f>IF(D450="","",INDEX(Guide!$B$18:$B$25,MATCH(D450,Guide!$A$18:$A$25,1)))</f>
        <v/>
      </c>
      <c r="T450" s="18">
        <f>IF(OR(C450="",P450="",Q450="",R450="",D450=""),"",ROUND(C450*Guide!$B$9+P450*Guide!$B$10+S450*Guide!$B$11+Q450*Guide!$B$12+(100-R450)*Guide!$B$13,1))</f>
        <v/>
      </c>
      <c r="U450" s="18">
        <f>IF(T450="","",IF(T450&gt;=Guide!$B$15,"PRIORITY","Low"))</f>
        <v/>
      </c>
    </row>
    <row r="451">
      <c r="A451" s="19" t="n"/>
      <c r="B451" s="19" t="n"/>
      <c r="C451" s="19" t="n"/>
      <c r="D451" s="20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21" t="n"/>
      <c r="O451" s="19" t="n"/>
      <c r="P451" s="19" t="n"/>
      <c r="Q451" s="19" t="n"/>
      <c r="R451" s="19" t="n"/>
      <c r="S451" s="18">
        <f>IF(D451="","",INDEX(Guide!$B$18:$B$25,MATCH(D451,Guide!$A$18:$A$25,1)))</f>
        <v/>
      </c>
      <c r="T451" s="18">
        <f>IF(OR(C451="",P451="",Q451="",R451="",D451=""),"",ROUND(C451*Guide!$B$9+P451*Guide!$B$10+S451*Guide!$B$11+Q451*Guide!$B$12+(100-R451)*Guide!$B$13,1))</f>
        <v/>
      </c>
      <c r="U451" s="18">
        <f>IF(T451="","",IF(T451&gt;=Guide!$B$15,"PRIORITY","Low"))</f>
        <v/>
      </c>
    </row>
    <row r="452">
      <c r="A452" s="19" t="n"/>
      <c r="B452" s="19" t="n"/>
      <c r="C452" s="19" t="n"/>
      <c r="D452" s="20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21" t="n"/>
      <c r="O452" s="19" t="n"/>
      <c r="P452" s="19" t="n"/>
      <c r="Q452" s="19" t="n"/>
      <c r="R452" s="19" t="n"/>
      <c r="S452" s="18">
        <f>IF(D452="","",INDEX(Guide!$B$18:$B$25,MATCH(D452,Guide!$A$18:$A$25,1)))</f>
        <v/>
      </c>
      <c r="T452" s="18">
        <f>IF(OR(C452="",P452="",Q452="",R452="",D452=""),"",ROUND(C452*Guide!$B$9+P452*Guide!$B$10+S452*Guide!$B$11+Q452*Guide!$B$12+(100-R452)*Guide!$B$13,1))</f>
        <v/>
      </c>
      <c r="U452" s="18">
        <f>IF(T452="","",IF(T452&gt;=Guide!$B$15,"PRIORITY","Low"))</f>
        <v/>
      </c>
    </row>
    <row r="453">
      <c r="A453" s="19" t="n"/>
      <c r="B453" s="19" t="n"/>
      <c r="C453" s="19" t="n"/>
      <c r="D453" s="20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21" t="n"/>
      <c r="O453" s="19" t="n"/>
      <c r="P453" s="19" t="n"/>
      <c r="Q453" s="19" t="n"/>
      <c r="R453" s="19" t="n"/>
      <c r="S453" s="18">
        <f>IF(D453="","",INDEX(Guide!$B$18:$B$25,MATCH(D453,Guide!$A$18:$A$25,1)))</f>
        <v/>
      </c>
      <c r="T453" s="18">
        <f>IF(OR(C453="",P453="",Q453="",R453="",D453=""),"",ROUND(C453*Guide!$B$9+P453*Guide!$B$10+S453*Guide!$B$11+Q453*Guide!$B$12+(100-R453)*Guide!$B$13,1))</f>
        <v/>
      </c>
      <c r="U453" s="18">
        <f>IF(T453="","",IF(T453&gt;=Guide!$B$15,"PRIORITY","Low"))</f>
        <v/>
      </c>
    </row>
    <row r="454">
      <c r="A454" s="19" t="n"/>
      <c r="B454" s="19" t="n"/>
      <c r="C454" s="19" t="n"/>
      <c r="D454" s="20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21" t="n"/>
      <c r="O454" s="19" t="n"/>
      <c r="P454" s="19" t="n"/>
      <c r="Q454" s="19" t="n"/>
      <c r="R454" s="19" t="n"/>
      <c r="S454" s="18">
        <f>IF(D454="","",INDEX(Guide!$B$18:$B$25,MATCH(D454,Guide!$A$18:$A$25,1)))</f>
        <v/>
      </c>
      <c r="T454" s="18">
        <f>IF(OR(C454="",P454="",Q454="",R454="",D454=""),"",ROUND(C454*Guide!$B$9+P454*Guide!$B$10+S454*Guide!$B$11+Q454*Guide!$B$12+(100-R454)*Guide!$B$13,1))</f>
        <v/>
      </c>
      <c r="U454" s="18">
        <f>IF(T454="","",IF(T454&gt;=Guide!$B$15,"PRIORITY","Low"))</f>
        <v/>
      </c>
    </row>
    <row r="455">
      <c r="A455" s="19" t="n"/>
      <c r="B455" s="19" t="n"/>
      <c r="C455" s="19" t="n"/>
      <c r="D455" s="20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21" t="n"/>
      <c r="O455" s="19" t="n"/>
      <c r="P455" s="19" t="n"/>
      <c r="Q455" s="19" t="n"/>
      <c r="R455" s="19" t="n"/>
      <c r="S455" s="18">
        <f>IF(D455="","",INDEX(Guide!$B$18:$B$25,MATCH(D455,Guide!$A$18:$A$25,1)))</f>
        <v/>
      </c>
      <c r="T455" s="18">
        <f>IF(OR(C455="",P455="",Q455="",R455="",D455=""),"",ROUND(C455*Guide!$B$9+P455*Guide!$B$10+S455*Guide!$B$11+Q455*Guide!$B$12+(100-R455)*Guide!$B$13,1))</f>
        <v/>
      </c>
      <c r="U455" s="18">
        <f>IF(T455="","",IF(T455&gt;=Guide!$B$15,"PRIORITY","Low"))</f>
        <v/>
      </c>
    </row>
    <row r="456">
      <c r="A456" s="19" t="n"/>
      <c r="B456" s="19" t="n"/>
      <c r="C456" s="19" t="n"/>
      <c r="D456" s="20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21" t="n"/>
      <c r="O456" s="19" t="n"/>
      <c r="P456" s="19" t="n"/>
      <c r="Q456" s="19" t="n"/>
      <c r="R456" s="19" t="n"/>
      <c r="S456" s="18">
        <f>IF(D456="","",INDEX(Guide!$B$18:$B$25,MATCH(D456,Guide!$A$18:$A$25,1)))</f>
        <v/>
      </c>
      <c r="T456" s="18">
        <f>IF(OR(C456="",P456="",Q456="",R456="",D456=""),"",ROUND(C456*Guide!$B$9+P456*Guide!$B$10+S456*Guide!$B$11+Q456*Guide!$B$12+(100-R456)*Guide!$B$13,1))</f>
        <v/>
      </c>
      <c r="U456" s="18">
        <f>IF(T456="","",IF(T456&gt;=Guide!$B$15,"PRIORITY","Low"))</f>
        <v/>
      </c>
    </row>
    <row r="457">
      <c r="A457" s="19" t="n"/>
      <c r="B457" s="19" t="n"/>
      <c r="C457" s="19" t="n"/>
      <c r="D457" s="20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21" t="n"/>
      <c r="O457" s="19" t="n"/>
      <c r="P457" s="19" t="n"/>
      <c r="Q457" s="19" t="n"/>
      <c r="R457" s="19" t="n"/>
      <c r="S457" s="18">
        <f>IF(D457="","",INDEX(Guide!$B$18:$B$25,MATCH(D457,Guide!$A$18:$A$25,1)))</f>
        <v/>
      </c>
      <c r="T457" s="18">
        <f>IF(OR(C457="",P457="",Q457="",R457="",D457=""),"",ROUND(C457*Guide!$B$9+P457*Guide!$B$10+S457*Guide!$B$11+Q457*Guide!$B$12+(100-R457)*Guide!$B$13,1))</f>
        <v/>
      </c>
      <c r="U457" s="18">
        <f>IF(T457="","",IF(T457&gt;=Guide!$B$15,"PRIORITY","Low"))</f>
        <v/>
      </c>
    </row>
    <row r="458">
      <c r="A458" s="19" t="n"/>
      <c r="B458" s="19" t="n"/>
      <c r="C458" s="19" t="n"/>
      <c r="D458" s="20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21" t="n"/>
      <c r="O458" s="19" t="n"/>
      <c r="P458" s="19" t="n"/>
      <c r="Q458" s="19" t="n"/>
      <c r="R458" s="19" t="n"/>
      <c r="S458" s="18">
        <f>IF(D458="","",INDEX(Guide!$B$18:$B$25,MATCH(D458,Guide!$A$18:$A$25,1)))</f>
        <v/>
      </c>
      <c r="T458" s="18">
        <f>IF(OR(C458="",P458="",Q458="",R458="",D458=""),"",ROUND(C458*Guide!$B$9+P458*Guide!$B$10+S458*Guide!$B$11+Q458*Guide!$B$12+(100-R458)*Guide!$B$13,1))</f>
        <v/>
      </c>
      <c r="U458" s="18">
        <f>IF(T458="","",IF(T458&gt;=Guide!$B$15,"PRIORITY","Low"))</f>
        <v/>
      </c>
    </row>
    <row r="459">
      <c r="A459" s="19" t="n"/>
      <c r="B459" s="19" t="n"/>
      <c r="C459" s="19" t="n"/>
      <c r="D459" s="20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21" t="n"/>
      <c r="O459" s="19" t="n"/>
      <c r="P459" s="19" t="n"/>
      <c r="Q459" s="19" t="n"/>
      <c r="R459" s="19" t="n"/>
      <c r="S459" s="18">
        <f>IF(D459="","",INDEX(Guide!$B$18:$B$25,MATCH(D459,Guide!$A$18:$A$25,1)))</f>
        <v/>
      </c>
      <c r="T459" s="18">
        <f>IF(OR(C459="",P459="",Q459="",R459="",D459=""),"",ROUND(C459*Guide!$B$9+P459*Guide!$B$10+S459*Guide!$B$11+Q459*Guide!$B$12+(100-R459)*Guide!$B$13,1))</f>
        <v/>
      </c>
      <c r="U459" s="18">
        <f>IF(T459="","",IF(T459&gt;=Guide!$B$15,"PRIORITY","Low"))</f>
        <v/>
      </c>
    </row>
    <row r="460">
      <c r="A460" s="19" t="n"/>
      <c r="B460" s="19" t="n"/>
      <c r="C460" s="19" t="n"/>
      <c r="D460" s="20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21" t="n"/>
      <c r="O460" s="19" t="n"/>
      <c r="P460" s="19" t="n"/>
      <c r="Q460" s="19" t="n"/>
      <c r="R460" s="19" t="n"/>
      <c r="S460" s="18">
        <f>IF(D460="","",INDEX(Guide!$B$18:$B$25,MATCH(D460,Guide!$A$18:$A$25,1)))</f>
        <v/>
      </c>
      <c r="T460" s="18">
        <f>IF(OR(C460="",P460="",Q460="",R460="",D460=""),"",ROUND(C460*Guide!$B$9+P460*Guide!$B$10+S460*Guide!$B$11+Q460*Guide!$B$12+(100-R460)*Guide!$B$13,1))</f>
        <v/>
      </c>
      <c r="U460" s="18">
        <f>IF(T460="","",IF(T460&gt;=Guide!$B$15,"PRIORITY","Low"))</f>
        <v/>
      </c>
    </row>
    <row r="461">
      <c r="A461" s="19" t="n"/>
      <c r="B461" s="19" t="n"/>
      <c r="C461" s="19" t="n"/>
      <c r="D461" s="20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21" t="n"/>
      <c r="O461" s="19" t="n"/>
      <c r="P461" s="19" t="n"/>
      <c r="Q461" s="19" t="n"/>
      <c r="R461" s="19" t="n"/>
      <c r="S461" s="18">
        <f>IF(D461="","",INDEX(Guide!$B$18:$B$25,MATCH(D461,Guide!$A$18:$A$25,1)))</f>
        <v/>
      </c>
      <c r="T461" s="18">
        <f>IF(OR(C461="",P461="",Q461="",R461="",D461=""),"",ROUND(C461*Guide!$B$9+P461*Guide!$B$10+S461*Guide!$B$11+Q461*Guide!$B$12+(100-R461)*Guide!$B$13,1))</f>
        <v/>
      </c>
      <c r="U461" s="18">
        <f>IF(T461="","",IF(T461&gt;=Guide!$B$15,"PRIORITY","Low"))</f>
        <v/>
      </c>
    </row>
    <row r="462">
      <c r="A462" s="19" t="n"/>
      <c r="B462" s="19" t="n"/>
      <c r="C462" s="19" t="n"/>
      <c r="D462" s="20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21" t="n"/>
      <c r="O462" s="19" t="n"/>
      <c r="P462" s="19" t="n"/>
      <c r="Q462" s="19" t="n"/>
      <c r="R462" s="19" t="n"/>
      <c r="S462" s="18">
        <f>IF(D462="","",INDEX(Guide!$B$18:$B$25,MATCH(D462,Guide!$A$18:$A$25,1)))</f>
        <v/>
      </c>
      <c r="T462" s="18">
        <f>IF(OR(C462="",P462="",Q462="",R462="",D462=""),"",ROUND(C462*Guide!$B$9+P462*Guide!$B$10+S462*Guide!$B$11+Q462*Guide!$B$12+(100-R462)*Guide!$B$13,1))</f>
        <v/>
      </c>
      <c r="U462" s="18">
        <f>IF(T462="","",IF(T462&gt;=Guide!$B$15,"PRIORITY","Low"))</f>
        <v/>
      </c>
    </row>
    <row r="463">
      <c r="A463" s="19" t="n"/>
      <c r="B463" s="19" t="n"/>
      <c r="C463" s="19" t="n"/>
      <c r="D463" s="20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21" t="n"/>
      <c r="O463" s="19" t="n"/>
      <c r="P463" s="19" t="n"/>
      <c r="Q463" s="19" t="n"/>
      <c r="R463" s="19" t="n"/>
      <c r="S463" s="18">
        <f>IF(D463="","",INDEX(Guide!$B$18:$B$25,MATCH(D463,Guide!$A$18:$A$25,1)))</f>
        <v/>
      </c>
      <c r="T463" s="18">
        <f>IF(OR(C463="",P463="",Q463="",R463="",D463=""),"",ROUND(C463*Guide!$B$9+P463*Guide!$B$10+S463*Guide!$B$11+Q463*Guide!$B$12+(100-R463)*Guide!$B$13,1))</f>
        <v/>
      </c>
      <c r="U463" s="18">
        <f>IF(T463="","",IF(T463&gt;=Guide!$B$15,"PRIORITY","Low"))</f>
        <v/>
      </c>
    </row>
    <row r="464">
      <c r="A464" s="19" t="n"/>
      <c r="B464" s="19" t="n"/>
      <c r="C464" s="19" t="n"/>
      <c r="D464" s="20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21" t="n"/>
      <c r="O464" s="19" t="n"/>
      <c r="P464" s="19" t="n"/>
      <c r="Q464" s="19" t="n"/>
      <c r="R464" s="19" t="n"/>
      <c r="S464" s="18">
        <f>IF(D464="","",INDEX(Guide!$B$18:$B$25,MATCH(D464,Guide!$A$18:$A$25,1)))</f>
        <v/>
      </c>
      <c r="T464" s="18">
        <f>IF(OR(C464="",P464="",Q464="",R464="",D464=""),"",ROUND(C464*Guide!$B$9+P464*Guide!$B$10+S464*Guide!$B$11+Q464*Guide!$B$12+(100-R464)*Guide!$B$13,1))</f>
        <v/>
      </c>
      <c r="U464" s="18">
        <f>IF(T464="","",IF(T464&gt;=Guide!$B$15,"PRIORITY","Low"))</f>
        <v/>
      </c>
    </row>
    <row r="465">
      <c r="A465" s="19" t="n"/>
      <c r="B465" s="19" t="n"/>
      <c r="C465" s="19" t="n"/>
      <c r="D465" s="20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21" t="n"/>
      <c r="O465" s="19" t="n"/>
      <c r="P465" s="19" t="n"/>
      <c r="Q465" s="19" t="n"/>
      <c r="R465" s="19" t="n"/>
      <c r="S465" s="18">
        <f>IF(D465="","",INDEX(Guide!$B$18:$B$25,MATCH(D465,Guide!$A$18:$A$25,1)))</f>
        <v/>
      </c>
      <c r="T465" s="18">
        <f>IF(OR(C465="",P465="",Q465="",R465="",D465=""),"",ROUND(C465*Guide!$B$9+P465*Guide!$B$10+S465*Guide!$B$11+Q465*Guide!$B$12+(100-R465)*Guide!$B$13,1))</f>
        <v/>
      </c>
      <c r="U465" s="18">
        <f>IF(T465="","",IF(T465&gt;=Guide!$B$15,"PRIORITY","Low"))</f>
        <v/>
      </c>
    </row>
    <row r="466">
      <c r="A466" s="19" t="n"/>
      <c r="B466" s="19" t="n"/>
      <c r="C466" s="19" t="n"/>
      <c r="D466" s="20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21" t="n"/>
      <c r="O466" s="19" t="n"/>
      <c r="P466" s="19" t="n"/>
      <c r="Q466" s="19" t="n"/>
      <c r="R466" s="19" t="n"/>
      <c r="S466" s="18">
        <f>IF(D466="","",INDEX(Guide!$B$18:$B$25,MATCH(D466,Guide!$A$18:$A$25,1)))</f>
        <v/>
      </c>
      <c r="T466" s="18">
        <f>IF(OR(C466="",P466="",Q466="",R466="",D466=""),"",ROUND(C466*Guide!$B$9+P466*Guide!$B$10+S466*Guide!$B$11+Q466*Guide!$B$12+(100-R466)*Guide!$B$13,1))</f>
        <v/>
      </c>
      <c r="U466" s="18">
        <f>IF(T466="","",IF(T466&gt;=Guide!$B$15,"PRIORITY","Low"))</f>
        <v/>
      </c>
    </row>
    <row r="467">
      <c r="A467" s="19" t="n"/>
      <c r="B467" s="19" t="n"/>
      <c r="C467" s="19" t="n"/>
      <c r="D467" s="20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21" t="n"/>
      <c r="O467" s="19" t="n"/>
      <c r="P467" s="19" t="n"/>
      <c r="Q467" s="19" t="n"/>
      <c r="R467" s="19" t="n"/>
      <c r="S467" s="18">
        <f>IF(D467="","",INDEX(Guide!$B$18:$B$25,MATCH(D467,Guide!$A$18:$A$25,1)))</f>
        <v/>
      </c>
      <c r="T467" s="18">
        <f>IF(OR(C467="",P467="",Q467="",R467="",D467=""),"",ROUND(C467*Guide!$B$9+P467*Guide!$B$10+S467*Guide!$B$11+Q467*Guide!$B$12+(100-R467)*Guide!$B$13,1))</f>
        <v/>
      </c>
      <c r="U467" s="18">
        <f>IF(T467="","",IF(T467&gt;=Guide!$B$15,"PRIORITY","Low"))</f>
        <v/>
      </c>
    </row>
    <row r="468">
      <c r="A468" s="19" t="n"/>
      <c r="B468" s="19" t="n"/>
      <c r="C468" s="19" t="n"/>
      <c r="D468" s="20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21" t="n"/>
      <c r="O468" s="19" t="n"/>
      <c r="P468" s="19" t="n"/>
      <c r="Q468" s="19" t="n"/>
      <c r="R468" s="19" t="n"/>
      <c r="S468" s="18">
        <f>IF(D468="","",INDEX(Guide!$B$18:$B$25,MATCH(D468,Guide!$A$18:$A$25,1)))</f>
        <v/>
      </c>
      <c r="T468" s="18">
        <f>IF(OR(C468="",P468="",Q468="",R468="",D468=""),"",ROUND(C468*Guide!$B$9+P468*Guide!$B$10+S468*Guide!$B$11+Q468*Guide!$B$12+(100-R468)*Guide!$B$13,1))</f>
        <v/>
      </c>
      <c r="U468" s="18">
        <f>IF(T468="","",IF(T468&gt;=Guide!$B$15,"PRIORITY","Low"))</f>
        <v/>
      </c>
    </row>
    <row r="469">
      <c r="A469" s="19" t="n"/>
      <c r="B469" s="19" t="n"/>
      <c r="C469" s="19" t="n"/>
      <c r="D469" s="20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21" t="n"/>
      <c r="O469" s="19" t="n"/>
      <c r="P469" s="19" t="n"/>
      <c r="Q469" s="19" t="n"/>
      <c r="R469" s="19" t="n"/>
      <c r="S469" s="18">
        <f>IF(D469="","",INDEX(Guide!$B$18:$B$25,MATCH(D469,Guide!$A$18:$A$25,1)))</f>
        <v/>
      </c>
      <c r="T469" s="18">
        <f>IF(OR(C469="",P469="",Q469="",R469="",D469=""),"",ROUND(C469*Guide!$B$9+P469*Guide!$B$10+S469*Guide!$B$11+Q469*Guide!$B$12+(100-R469)*Guide!$B$13,1))</f>
        <v/>
      </c>
      <c r="U469" s="18">
        <f>IF(T469="","",IF(T469&gt;=Guide!$B$15,"PRIORITY","Low"))</f>
        <v/>
      </c>
    </row>
    <row r="470">
      <c r="A470" s="19" t="n"/>
      <c r="B470" s="19" t="n"/>
      <c r="C470" s="19" t="n"/>
      <c r="D470" s="20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21" t="n"/>
      <c r="O470" s="19" t="n"/>
      <c r="P470" s="19" t="n"/>
      <c r="Q470" s="19" t="n"/>
      <c r="R470" s="19" t="n"/>
      <c r="S470" s="18">
        <f>IF(D470="","",INDEX(Guide!$B$18:$B$25,MATCH(D470,Guide!$A$18:$A$25,1)))</f>
        <v/>
      </c>
      <c r="T470" s="18">
        <f>IF(OR(C470="",P470="",Q470="",R470="",D470=""),"",ROUND(C470*Guide!$B$9+P470*Guide!$B$10+S470*Guide!$B$11+Q470*Guide!$B$12+(100-R470)*Guide!$B$13,1))</f>
        <v/>
      </c>
      <c r="U470" s="18">
        <f>IF(T470="","",IF(T470&gt;=Guide!$B$15,"PRIORITY","Low"))</f>
        <v/>
      </c>
    </row>
    <row r="471">
      <c r="A471" s="19" t="n"/>
      <c r="B471" s="19" t="n"/>
      <c r="C471" s="19" t="n"/>
      <c r="D471" s="20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21" t="n"/>
      <c r="O471" s="19" t="n"/>
      <c r="P471" s="19" t="n"/>
      <c r="Q471" s="19" t="n"/>
      <c r="R471" s="19" t="n"/>
      <c r="S471" s="18">
        <f>IF(D471="","",INDEX(Guide!$B$18:$B$25,MATCH(D471,Guide!$A$18:$A$25,1)))</f>
        <v/>
      </c>
      <c r="T471" s="18">
        <f>IF(OR(C471="",P471="",Q471="",R471="",D471=""),"",ROUND(C471*Guide!$B$9+P471*Guide!$B$10+S471*Guide!$B$11+Q471*Guide!$B$12+(100-R471)*Guide!$B$13,1))</f>
        <v/>
      </c>
      <c r="U471" s="18">
        <f>IF(T471="","",IF(T471&gt;=Guide!$B$15,"PRIORITY","Low"))</f>
        <v/>
      </c>
    </row>
    <row r="472">
      <c r="A472" s="19" t="n"/>
      <c r="B472" s="19" t="n"/>
      <c r="C472" s="19" t="n"/>
      <c r="D472" s="20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21" t="n"/>
      <c r="O472" s="19" t="n"/>
      <c r="P472" s="19" t="n"/>
      <c r="Q472" s="19" t="n"/>
      <c r="R472" s="19" t="n"/>
      <c r="S472" s="18">
        <f>IF(D472="","",INDEX(Guide!$B$18:$B$25,MATCH(D472,Guide!$A$18:$A$25,1)))</f>
        <v/>
      </c>
      <c r="T472" s="18">
        <f>IF(OR(C472="",P472="",Q472="",R472="",D472=""),"",ROUND(C472*Guide!$B$9+P472*Guide!$B$10+S472*Guide!$B$11+Q472*Guide!$B$12+(100-R472)*Guide!$B$13,1))</f>
        <v/>
      </c>
      <c r="U472" s="18">
        <f>IF(T472="","",IF(T472&gt;=Guide!$B$15,"PRIORITY","Low"))</f>
        <v/>
      </c>
    </row>
    <row r="473">
      <c r="A473" s="19" t="n"/>
      <c r="B473" s="19" t="n"/>
      <c r="C473" s="19" t="n"/>
      <c r="D473" s="20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21" t="n"/>
      <c r="O473" s="19" t="n"/>
      <c r="P473" s="19" t="n"/>
      <c r="Q473" s="19" t="n"/>
      <c r="R473" s="19" t="n"/>
      <c r="S473" s="18">
        <f>IF(D473="","",INDEX(Guide!$B$18:$B$25,MATCH(D473,Guide!$A$18:$A$25,1)))</f>
        <v/>
      </c>
      <c r="T473" s="18">
        <f>IF(OR(C473="",P473="",Q473="",R473="",D473=""),"",ROUND(C473*Guide!$B$9+P473*Guide!$B$10+S473*Guide!$B$11+Q473*Guide!$B$12+(100-R473)*Guide!$B$13,1))</f>
        <v/>
      </c>
      <c r="U473" s="18">
        <f>IF(T473="","",IF(T473&gt;=Guide!$B$15,"PRIORITY","Low"))</f>
        <v/>
      </c>
    </row>
    <row r="474">
      <c r="A474" s="19" t="n"/>
      <c r="B474" s="19" t="n"/>
      <c r="C474" s="19" t="n"/>
      <c r="D474" s="20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21" t="n"/>
      <c r="O474" s="19" t="n"/>
      <c r="P474" s="19" t="n"/>
      <c r="Q474" s="19" t="n"/>
      <c r="R474" s="19" t="n"/>
      <c r="S474" s="18">
        <f>IF(D474="","",INDEX(Guide!$B$18:$B$25,MATCH(D474,Guide!$A$18:$A$25,1)))</f>
        <v/>
      </c>
      <c r="T474" s="18">
        <f>IF(OR(C474="",P474="",Q474="",R474="",D474=""),"",ROUND(C474*Guide!$B$9+P474*Guide!$B$10+S474*Guide!$B$11+Q474*Guide!$B$12+(100-R474)*Guide!$B$13,1))</f>
        <v/>
      </c>
      <c r="U474" s="18">
        <f>IF(T474="","",IF(T474&gt;=Guide!$B$15,"PRIORITY","Low"))</f>
        <v/>
      </c>
    </row>
    <row r="475">
      <c r="A475" s="19" t="n"/>
      <c r="B475" s="19" t="n"/>
      <c r="C475" s="19" t="n"/>
      <c r="D475" s="20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21" t="n"/>
      <c r="O475" s="19" t="n"/>
      <c r="P475" s="19" t="n"/>
      <c r="Q475" s="19" t="n"/>
      <c r="R475" s="19" t="n"/>
      <c r="S475" s="18">
        <f>IF(D475="","",INDEX(Guide!$B$18:$B$25,MATCH(D475,Guide!$A$18:$A$25,1)))</f>
        <v/>
      </c>
      <c r="T475" s="18">
        <f>IF(OR(C475="",P475="",Q475="",R475="",D475=""),"",ROUND(C475*Guide!$B$9+P475*Guide!$B$10+S475*Guide!$B$11+Q475*Guide!$B$12+(100-R475)*Guide!$B$13,1))</f>
        <v/>
      </c>
      <c r="U475" s="18">
        <f>IF(T475="","",IF(T475&gt;=Guide!$B$15,"PRIORITY","Low"))</f>
        <v/>
      </c>
    </row>
    <row r="476">
      <c r="A476" s="19" t="n"/>
      <c r="B476" s="19" t="n"/>
      <c r="C476" s="19" t="n"/>
      <c r="D476" s="20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21" t="n"/>
      <c r="O476" s="19" t="n"/>
      <c r="P476" s="19" t="n"/>
      <c r="Q476" s="19" t="n"/>
      <c r="R476" s="19" t="n"/>
      <c r="S476" s="18">
        <f>IF(D476="","",INDEX(Guide!$B$18:$B$25,MATCH(D476,Guide!$A$18:$A$25,1)))</f>
        <v/>
      </c>
      <c r="T476" s="18">
        <f>IF(OR(C476="",P476="",Q476="",R476="",D476=""),"",ROUND(C476*Guide!$B$9+P476*Guide!$B$10+S476*Guide!$B$11+Q476*Guide!$B$12+(100-R476)*Guide!$B$13,1))</f>
        <v/>
      </c>
      <c r="U476" s="18">
        <f>IF(T476="","",IF(T476&gt;=Guide!$B$15,"PRIORITY","Low"))</f>
        <v/>
      </c>
    </row>
    <row r="477">
      <c r="A477" s="19" t="n"/>
      <c r="B477" s="19" t="n"/>
      <c r="C477" s="19" t="n"/>
      <c r="D477" s="20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21" t="n"/>
      <c r="O477" s="19" t="n"/>
      <c r="P477" s="19" t="n"/>
      <c r="Q477" s="19" t="n"/>
      <c r="R477" s="19" t="n"/>
      <c r="S477" s="18">
        <f>IF(D477="","",INDEX(Guide!$B$18:$B$25,MATCH(D477,Guide!$A$18:$A$25,1)))</f>
        <v/>
      </c>
      <c r="T477" s="18">
        <f>IF(OR(C477="",P477="",Q477="",R477="",D477=""),"",ROUND(C477*Guide!$B$9+P477*Guide!$B$10+S477*Guide!$B$11+Q477*Guide!$B$12+(100-R477)*Guide!$B$13,1))</f>
        <v/>
      </c>
      <c r="U477" s="18">
        <f>IF(T477="","",IF(T477&gt;=Guide!$B$15,"PRIORITY","Low"))</f>
        <v/>
      </c>
    </row>
    <row r="478">
      <c r="A478" s="19" t="n"/>
      <c r="B478" s="19" t="n"/>
      <c r="C478" s="19" t="n"/>
      <c r="D478" s="20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21" t="n"/>
      <c r="O478" s="19" t="n"/>
      <c r="P478" s="19" t="n"/>
      <c r="Q478" s="19" t="n"/>
      <c r="R478" s="19" t="n"/>
      <c r="S478" s="18">
        <f>IF(D478="","",INDEX(Guide!$B$18:$B$25,MATCH(D478,Guide!$A$18:$A$25,1)))</f>
        <v/>
      </c>
      <c r="T478" s="18">
        <f>IF(OR(C478="",P478="",Q478="",R478="",D478=""),"",ROUND(C478*Guide!$B$9+P478*Guide!$B$10+S478*Guide!$B$11+Q478*Guide!$B$12+(100-R478)*Guide!$B$13,1))</f>
        <v/>
      </c>
      <c r="U478" s="18">
        <f>IF(T478="","",IF(T478&gt;=Guide!$B$15,"PRIORITY","Low"))</f>
        <v/>
      </c>
    </row>
    <row r="479">
      <c r="A479" s="19" t="n"/>
      <c r="B479" s="19" t="n"/>
      <c r="C479" s="19" t="n"/>
      <c r="D479" s="20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21" t="n"/>
      <c r="O479" s="19" t="n"/>
      <c r="P479" s="19" t="n"/>
      <c r="Q479" s="19" t="n"/>
      <c r="R479" s="19" t="n"/>
      <c r="S479" s="18">
        <f>IF(D479="","",INDEX(Guide!$B$18:$B$25,MATCH(D479,Guide!$A$18:$A$25,1)))</f>
        <v/>
      </c>
      <c r="T479" s="18">
        <f>IF(OR(C479="",P479="",Q479="",R479="",D479=""),"",ROUND(C479*Guide!$B$9+P479*Guide!$B$10+S479*Guide!$B$11+Q479*Guide!$B$12+(100-R479)*Guide!$B$13,1))</f>
        <v/>
      </c>
      <c r="U479" s="18">
        <f>IF(T479="","",IF(T479&gt;=Guide!$B$15,"PRIORITY","Low"))</f>
        <v/>
      </c>
    </row>
    <row r="480">
      <c r="A480" s="19" t="n"/>
      <c r="B480" s="19" t="n"/>
      <c r="C480" s="19" t="n"/>
      <c r="D480" s="20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21" t="n"/>
      <c r="O480" s="19" t="n"/>
      <c r="P480" s="19" t="n"/>
      <c r="Q480" s="19" t="n"/>
      <c r="R480" s="19" t="n"/>
      <c r="S480" s="18">
        <f>IF(D480="","",INDEX(Guide!$B$18:$B$25,MATCH(D480,Guide!$A$18:$A$25,1)))</f>
        <v/>
      </c>
      <c r="T480" s="18">
        <f>IF(OR(C480="",P480="",Q480="",R480="",D480=""),"",ROUND(C480*Guide!$B$9+P480*Guide!$B$10+S480*Guide!$B$11+Q480*Guide!$B$12+(100-R480)*Guide!$B$13,1))</f>
        <v/>
      </c>
      <c r="U480" s="18">
        <f>IF(T480="","",IF(T480&gt;=Guide!$B$15,"PRIORITY","Low"))</f>
        <v/>
      </c>
    </row>
    <row r="481">
      <c r="A481" s="19" t="n"/>
      <c r="B481" s="19" t="n"/>
      <c r="C481" s="19" t="n"/>
      <c r="D481" s="20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21" t="n"/>
      <c r="O481" s="19" t="n"/>
      <c r="P481" s="19" t="n"/>
      <c r="Q481" s="19" t="n"/>
      <c r="R481" s="19" t="n"/>
      <c r="S481" s="18">
        <f>IF(D481="","",INDEX(Guide!$B$18:$B$25,MATCH(D481,Guide!$A$18:$A$25,1)))</f>
        <v/>
      </c>
      <c r="T481" s="18">
        <f>IF(OR(C481="",P481="",Q481="",R481="",D481=""),"",ROUND(C481*Guide!$B$9+P481*Guide!$B$10+S481*Guide!$B$11+Q481*Guide!$B$12+(100-R481)*Guide!$B$13,1))</f>
        <v/>
      </c>
      <c r="U481" s="18">
        <f>IF(T481="","",IF(T481&gt;=Guide!$B$15,"PRIORITY","Low"))</f>
        <v/>
      </c>
    </row>
    <row r="482">
      <c r="A482" s="19" t="n"/>
      <c r="B482" s="19" t="n"/>
      <c r="C482" s="19" t="n"/>
      <c r="D482" s="20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21" t="n"/>
      <c r="O482" s="19" t="n"/>
      <c r="P482" s="19" t="n"/>
      <c r="Q482" s="19" t="n"/>
      <c r="R482" s="19" t="n"/>
      <c r="S482" s="18">
        <f>IF(D482="","",INDEX(Guide!$B$18:$B$25,MATCH(D482,Guide!$A$18:$A$25,1)))</f>
        <v/>
      </c>
      <c r="T482" s="18">
        <f>IF(OR(C482="",P482="",Q482="",R482="",D482=""),"",ROUND(C482*Guide!$B$9+P482*Guide!$B$10+S482*Guide!$B$11+Q482*Guide!$B$12+(100-R482)*Guide!$B$13,1))</f>
        <v/>
      </c>
      <c r="U482" s="18">
        <f>IF(T482="","",IF(T482&gt;=Guide!$B$15,"PRIORITY","Low"))</f>
        <v/>
      </c>
    </row>
    <row r="483">
      <c r="A483" s="19" t="n"/>
      <c r="B483" s="19" t="n"/>
      <c r="C483" s="19" t="n"/>
      <c r="D483" s="20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21" t="n"/>
      <c r="O483" s="19" t="n"/>
      <c r="P483" s="19" t="n"/>
      <c r="Q483" s="19" t="n"/>
      <c r="R483" s="19" t="n"/>
      <c r="S483" s="18">
        <f>IF(D483="","",INDEX(Guide!$B$18:$B$25,MATCH(D483,Guide!$A$18:$A$25,1)))</f>
        <v/>
      </c>
      <c r="T483" s="18">
        <f>IF(OR(C483="",P483="",Q483="",R483="",D483=""),"",ROUND(C483*Guide!$B$9+P483*Guide!$B$10+S483*Guide!$B$11+Q483*Guide!$B$12+(100-R483)*Guide!$B$13,1))</f>
        <v/>
      </c>
      <c r="U483" s="18">
        <f>IF(T483="","",IF(T483&gt;=Guide!$B$15,"PRIORITY","Low"))</f>
        <v/>
      </c>
    </row>
    <row r="484">
      <c r="A484" s="19" t="n"/>
      <c r="B484" s="19" t="n"/>
      <c r="C484" s="19" t="n"/>
      <c r="D484" s="20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21" t="n"/>
      <c r="O484" s="19" t="n"/>
      <c r="P484" s="19" t="n"/>
      <c r="Q484" s="19" t="n"/>
      <c r="R484" s="19" t="n"/>
      <c r="S484" s="18">
        <f>IF(D484="","",INDEX(Guide!$B$18:$B$25,MATCH(D484,Guide!$A$18:$A$25,1)))</f>
        <v/>
      </c>
      <c r="T484" s="18">
        <f>IF(OR(C484="",P484="",Q484="",R484="",D484=""),"",ROUND(C484*Guide!$B$9+P484*Guide!$B$10+S484*Guide!$B$11+Q484*Guide!$B$12+(100-R484)*Guide!$B$13,1))</f>
        <v/>
      </c>
      <c r="U484" s="18">
        <f>IF(T484="","",IF(T484&gt;=Guide!$B$15,"PRIORITY","Low"))</f>
        <v/>
      </c>
    </row>
    <row r="485">
      <c r="A485" s="19" t="n"/>
      <c r="B485" s="19" t="n"/>
      <c r="C485" s="19" t="n"/>
      <c r="D485" s="20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21" t="n"/>
      <c r="O485" s="19" t="n"/>
      <c r="P485" s="19" t="n"/>
      <c r="Q485" s="19" t="n"/>
      <c r="R485" s="19" t="n"/>
      <c r="S485" s="18">
        <f>IF(D485="","",INDEX(Guide!$B$18:$B$25,MATCH(D485,Guide!$A$18:$A$25,1)))</f>
        <v/>
      </c>
      <c r="T485" s="18">
        <f>IF(OR(C485="",P485="",Q485="",R485="",D485=""),"",ROUND(C485*Guide!$B$9+P485*Guide!$B$10+S485*Guide!$B$11+Q485*Guide!$B$12+(100-R485)*Guide!$B$13,1))</f>
        <v/>
      </c>
      <c r="U485" s="18">
        <f>IF(T485="","",IF(T485&gt;=Guide!$B$15,"PRIORITY","Low"))</f>
        <v/>
      </c>
    </row>
    <row r="486">
      <c r="A486" s="19" t="n"/>
      <c r="B486" s="19" t="n"/>
      <c r="C486" s="19" t="n"/>
      <c r="D486" s="20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21" t="n"/>
      <c r="O486" s="19" t="n"/>
      <c r="P486" s="19" t="n"/>
      <c r="Q486" s="19" t="n"/>
      <c r="R486" s="19" t="n"/>
      <c r="S486" s="18">
        <f>IF(D486="","",INDEX(Guide!$B$18:$B$25,MATCH(D486,Guide!$A$18:$A$25,1)))</f>
        <v/>
      </c>
      <c r="T486" s="18">
        <f>IF(OR(C486="",P486="",Q486="",R486="",D486=""),"",ROUND(C486*Guide!$B$9+P486*Guide!$B$10+S486*Guide!$B$11+Q486*Guide!$B$12+(100-R486)*Guide!$B$13,1))</f>
        <v/>
      </c>
      <c r="U486" s="18">
        <f>IF(T486="","",IF(T486&gt;=Guide!$B$15,"PRIORITY","Low"))</f>
        <v/>
      </c>
    </row>
    <row r="487">
      <c r="A487" s="19" t="n"/>
      <c r="B487" s="19" t="n"/>
      <c r="C487" s="19" t="n"/>
      <c r="D487" s="20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21" t="n"/>
      <c r="O487" s="19" t="n"/>
      <c r="P487" s="19" t="n"/>
      <c r="Q487" s="19" t="n"/>
      <c r="R487" s="19" t="n"/>
      <c r="S487" s="18">
        <f>IF(D487="","",INDEX(Guide!$B$18:$B$25,MATCH(D487,Guide!$A$18:$A$25,1)))</f>
        <v/>
      </c>
      <c r="T487" s="18">
        <f>IF(OR(C487="",P487="",Q487="",R487="",D487=""),"",ROUND(C487*Guide!$B$9+P487*Guide!$B$10+S487*Guide!$B$11+Q487*Guide!$B$12+(100-R487)*Guide!$B$13,1))</f>
        <v/>
      </c>
      <c r="U487" s="18">
        <f>IF(T487="","",IF(T487&gt;=Guide!$B$15,"PRIORITY","Low"))</f>
        <v/>
      </c>
    </row>
    <row r="488">
      <c r="A488" s="19" t="n"/>
      <c r="B488" s="19" t="n"/>
      <c r="C488" s="19" t="n"/>
      <c r="D488" s="20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21" t="n"/>
      <c r="O488" s="19" t="n"/>
      <c r="P488" s="19" t="n"/>
      <c r="Q488" s="19" t="n"/>
      <c r="R488" s="19" t="n"/>
      <c r="S488" s="18">
        <f>IF(D488="","",INDEX(Guide!$B$18:$B$25,MATCH(D488,Guide!$A$18:$A$25,1)))</f>
        <v/>
      </c>
      <c r="T488" s="18">
        <f>IF(OR(C488="",P488="",Q488="",R488="",D488=""),"",ROUND(C488*Guide!$B$9+P488*Guide!$B$10+S488*Guide!$B$11+Q488*Guide!$B$12+(100-R488)*Guide!$B$13,1))</f>
        <v/>
      </c>
      <c r="U488" s="18">
        <f>IF(T488="","",IF(T488&gt;=Guide!$B$15,"PRIORITY","Low"))</f>
        <v/>
      </c>
    </row>
    <row r="489">
      <c r="A489" s="19" t="n"/>
      <c r="B489" s="19" t="n"/>
      <c r="C489" s="19" t="n"/>
      <c r="D489" s="20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21" t="n"/>
      <c r="O489" s="19" t="n"/>
      <c r="P489" s="19" t="n"/>
      <c r="Q489" s="19" t="n"/>
      <c r="R489" s="19" t="n"/>
      <c r="S489" s="18">
        <f>IF(D489="","",INDEX(Guide!$B$18:$B$25,MATCH(D489,Guide!$A$18:$A$25,1)))</f>
        <v/>
      </c>
      <c r="T489" s="18">
        <f>IF(OR(C489="",P489="",Q489="",R489="",D489=""),"",ROUND(C489*Guide!$B$9+P489*Guide!$B$10+S489*Guide!$B$11+Q489*Guide!$B$12+(100-R489)*Guide!$B$13,1))</f>
        <v/>
      </c>
      <c r="U489" s="18">
        <f>IF(T489="","",IF(T489&gt;=Guide!$B$15,"PRIORITY","Low"))</f>
        <v/>
      </c>
    </row>
    <row r="490">
      <c r="A490" s="19" t="n"/>
      <c r="B490" s="19" t="n"/>
      <c r="C490" s="19" t="n"/>
      <c r="D490" s="20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21" t="n"/>
      <c r="O490" s="19" t="n"/>
      <c r="P490" s="19" t="n"/>
      <c r="Q490" s="19" t="n"/>
      <c r="R490" s="19" t="n"/>
      <c r="S490" s="18">
        <f>IF(D490="","",INDEX(Guide!$B$18:$B$25,MATCH(D490,Guide!$A$18:$A$25,1)))</f>
        <v/>
      </c>
      <c r="T490" s="18">
        <f>IF(OR(C490="",P490="",Q490="",R490="",D490=""),"",ROUND(C490*Guide!$B$9+P490*Guide!$B$10+S490*Guide!$B$11+Q490*Guide!$B$12+(100-R490)*Guide!$B$13,1))</f>
        <v/>
      </c>
      <c r="U490" s="18">
        <f>IF(T490="","",IF(T490&gt;=Guide!$B$15,"PRIORITY","Low"))</f>
        <v/>
      </c>
    </row>
    <row r="491">
      <c r="A491" s="19" t="n"/>
      <c r="B491" s="19" t="n"/>
      <c r="C491" s="19" t="n"/>
      <c r="D491" s="20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21" t="n"/>
      <c r="O491" s="19" t="n"/>
      <c r="P491" s="19" t="n"/>
      <c r="Q491" s="19" t="n"/>
      <c r="R491" s="19" t="n"/>
      <c r="S491" s="18">
        <f>IF(D491="","",INDEX(Guide!$B$18:$B$25,MATCH(D491,Guide!$A$18:$A$25,1)))</f>
        <v/>
      </c>
      <c r="T491" s="18">
        <f>IF(OR(C491="",P491="",Q491="",R491="",D491=""),"",ROUND(C491*Guide!$B$9+P491*Guide!$B$10+S491*Guide!$B$11+Q491*Guide!$B$12+(100-R491)*Guide!$B$13,1))</f>
        <v/>
      </c>
      <c r="U491" s="18">
        <f>IF(T491="","",IF(T491&gt;=Guide!$B$15,"PRIORITY","Low"))</f>
        <v/>
      </c>
    </row>
    <row r="492">
      <c r="A492" s="19" t="n"/>
      <c r="B492" s="19" t="n"/>
      <c r="C492" s="19" t="n"/>
      <c r="D492" s="20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21" t="n"/>
      <c r="O492" s="19" t="n"/>
      <c r="P492" s="19" t="n"/>
      <c r="Q492" s="19" t="n"/>
      <c r="R492" s="19" t="n"/>
      <c r="S492" s="18">
        <f>IF(D492="","",INDEX(Guide!$B$18:$B$25,MATCH(D492,Guide!$A$18:$A$25,1)))</f>
        <v/>
      </c>
      <c r="T492" s="18">
        <f>IF(OR(C492="",P492="",Q492="",R492="",D492=""),"",ROUND(C492*Guide!$B$9+P492*Guide!$B$10+S492*Guide!$B$11+Q492*Guide!$B$12+(100-R492)*Guide!$B$13,1))</f>
        <v/>
      </c>
      <c r="U492" s="18">
        <f>IF(T492="","",IF(T492&gt;=Guide!$B$15,"PRIORITY","Low"))</f>
        <v/>
      </c>
    </row>
    <row r="493">
      <c r="A493" s="19" t="n"/>
      <c r="B493" s="19" t="n"/>
      <c r="C493" s="19" t="n"/>
      <c r="D493" s="20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21" t="n"/>
      <c r="O493" s="19" t="n"/>
      <c r="P493" s="19" t="n"/>
      <c r="Q493" s="19" t="n"/>
      <c r="R493" s="19" t="n"/>
      <c r="S493" s="18">
        <f>IF(D493="","",INDEX(Guide!$B$18:$B$25,MATCH(D493,Guide!$A$18:$A$25,1)))</f>
        <v/>
      </c>
      <c r="T493" s="18">
        <f>IF(OR(C493="",P493="",Q493="",R493="",D493=""),"",ROUND(C493*Guide!$B$9+P493*Guide!$B$10+S493*Guide!$B$11+Q493*Guide!$B$12+(100-R493)*Guide!$B$13,1))</f>
        <v/>
      </c>
      <c r="U493" s="18">
        <f>IF(T493="","",IF(T493&gt;=Guide!$B$15,"PRIORITY","Low"))</f>
        <v/>
      </c>
    </row>
    <row r="494">
      <c r="A494" s="19" t="n"/>
      <c r="B494" s="19" t="n"/>
      <c r="C494" s="19" t="n"/>
      <c r="D494" s="20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21" t="n"/>
      <c r="O494" s="19" t="n"/>
      <c r="P494" s="19" t="n"/>
      <c r="Q494" s="19" t="n"/>
      <c r="R494" s="19" t="n"/>
      <c r="S494" s="18">
        <f>IF(D494="","",INDEX(Guide!$B$18:$B$25,MATCH(D494,Guide!$A$18:$A$25,1)))</f>
        <v/>
      </c>
      <c r="T494" s="18">
        <f>IF(OR(C494="",P494="",Q494="",R494="",D494=""),"",ROUND(C494*Guide!$B$9+P494*Guide!$B$10+S494*Guide!$B$11+Q494*Guide!$B$12+(100-R494)*Guide!$B$13,1))</f>
        <v/>
      </c>
      <c r="U494" s="18">
        <f>IF(T494="","",IF(T494&gt;=Guide!$B$15,"PRIORITY","Low"))</f>
        <v/>
      </c>
    </row>
    <row r="495">
      <c r="A495" s="19" t="n"/>
      <c r="B495" s="19" t="n"/>
      <c r="C495" s="19" t="n"/>
      <c r="D495" s="20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21" t="n"/>
      <c r="O495" s="19" t="n"/>
      <c r="P495" s="19" t="n"/>
      <c r="Q495" s="19" t="n"/>
      <c r="R495" s="19" t="n"/>
      <c r="S495" s="18">
        <f>IF(D495="","",INDEX(Guide!$B$18:$B$25,MATCH(D495,Guide!$A$18:$A$25,1)))</f>
        <v/>
      </c>
      <c r="T495" s="18">
        <f>IF(OR(C495="",P495="",Q495="",R495="",D495=""),"",ROUND(C495*Guide!$B$9+P495*Guide!$B$10+S495*Guide!$B$11+Q495*Guide!$B$12+(100-R495)*Guide!$B$13,1))</f>
        <v/>
      </c>
      <c r="U495" s="18">
        <f>IF(T495="","",IF(T495&gt;=Guide!$B$15,"PRIORITY","Low"))</f>
        <v/>
      </c>
    </row>
    <row r="496">
      <c r="A496" s="19" t="n"/>
      <c r="B496" s="19" t="n"/>
      <c r="C496" s="19" t="n"/>
      <c r="D496" s="20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21" t="n"/>
      <c r="O496" s="19" t="n"/>
      <c r="P496" s="19" t="n"/>
      <c r="Q496" s="19" t="n"/>
      <c r="R496" s="19" t="n"/>
      <c r="S496" s="18">
        <f>IF(D496="","",INDEX(Guide!$B$18:$B$25,MATCH(D496,Guide!$A$18:$A$25,1)))</f>
        <v/>
      </c>
      <c r="T496" s="18">
        <f>IF(OR(C496="",P496="",Q496="",R496="",D496=""),"",ROUND(C496*Guide!$B$9+P496*Guide!$B$10+S496*Guide!$B$11+Q496*Guide!$B$12+(100-R496)*Guide!$B$13,1))</f>
        <v/>
      </c>
      <c r="U496" s="18">
        <f>IF(T496="","",IF(T496&gt;=Guide!$B$15,"PRIORITY","Low"))</f>
        <v/>
      </c>
    </row>
    <row r="497">
      <c r="A497" s="19" t="n"/>
      <c r="B497" s="19" t="n"/>
      <c r="C497" s="19" t="n"/>
      <c r="D497" s="20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21" t="n"/>
      <c r="O497" s="19" t="n"/>
      <c r="P497" s="19" t="n"/>
      <c r="Q497" s="19" t="n"/>
      <c r="R497" s="19" t="n"/>
      <c r="S497" s="18">
        <f>IF(D497="","",INDEX(Guide!$B$18:$B$25,MATCH(D497,Guide!$A$18:$A$25,1)))</f>
        <v/>
      </c>
      <c r="T497" s="18">
        <f>IF(OR(C497="",P497="",Q497="",R497="",D497=""),"",ROUND(C497*Guide!$B$9+P497*Guide!$B$10+S497*Guide!$B$11+Q497*Guide!$B$12+(100-R497)*Guide!$B$13,1))</f>
        <v/>
      </c>
      <c r="U497" s="18">
        <f>IF(T497="","",IF(T497&gt;=Guide!$B$15,"PRIORITY","Low"))</f>
        <v/>
      </c>
    </row>
    <row r="498">
      <c r="A498" s="19" t="n"/>
      <c r="B498" s="19" t="n"/>
      <c r="C498" s="19" t="n"/>
      <c r="D498" s="20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21" t="n"/>
      <c r="O498" s="19" t="n"/>
      <c r="P498" s="19" t="n"/>
      <c r="Q498" s="19" t="n"/>
      <c r="R498" s="19" t="n"/>
      <c r="S498" s="18">
        <f>IF(D498="","",INDEX(Guide!$B$18:$B$25,MATCH(D498,Guide!$A$18:$A$25,1)))</f>
        <v/>
      </c>
      <c r="T498" s="18">
        <f>IF(OR(C498="",P498="",Q498="",R498="",D498=""),"",ROUND(C498*Guide!$B$9+P498*Guide!$B$10+S498*Guide!$B$11+Q498*Guide!$B$12+(100-R498)*Guide!$B$13,1))</f>
        <v/>
      </c>
      <c r="U498" s="18">
        <f>IF(T498="","",IF(T498&gt;=Guide!$B$15,"PRIORITY","Low"))</f>
        <v/>
      </c>
    </row>
    <row r="499">
      <c r="A499" s="19" t="n"/>
      <c r="B499" s="19" t="n"/>
      <c r="C499" s="19" t="n"/>
      <c r="D499" s="20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21" t="n"/>
      <c r="O499" s="19" t="n"/>
      <c r="P499" s="19" t="n"/>
      <c r="Q499" s="19" t="n"/>
      <c r="R499" s="19" t="n"/>
      <c r="S499" s="18">
        <f>IF(D499="","",INDEX(Guide!$B$18:$B$25,MATCH(D499,Guide!$A$18:$A$25,1)))</f>
        <v/>
      </c>
      <c r="T499" s="18">
        <f>IF(OR(C499="",P499="",Q499="",R499="",D499=""),"",ROUND(C499*Guide!$B$9+P499*Guide!$B$10+S499*Guide!$B$11+Q499*Guide!$B$12+(100-R499)*Guide!$B$13,1))</f>
        <v/>
      </c>
      <c r="U499" s="18">
        <f>IF(T499="","",IF(T499&gt;=Guide!$B$15,"PRIORITY","Low"))</f>
        <v/>
      </c>
    </row>
    <row r="500">
      <c r="A500" s="19" t="n"/>
      <c r="B500" s="19" t="n"/>
      <c r="C500" s="19" t="n"/>
      <c r="D500" s="20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21" t="n"/>
      <c r="O500" s="19" t="n"/>
      <c r="P500" s="19" t="n"/>
      <c r="Q500" s="19" t="n"/>
      <c r="R500" s="19" t="n"/>
      <c r="S500" s="18">
        <f>IF(D500="","",INDEX(Guide!$B$18:$B$25,MATCH(D500,Guide!$A$18:$A$25,1)))</f>
        <v/>
      </c>
      <c r="T500" s="18">
        <f>IF(OR(C500="",P500="",Q500="",R500="",D500=""),"",ROUND(C500*Guide!$B$9+P500*Guide!$B$10+S500*Guide!$B$11+Q500*Guide!$B$12+(100-R500)*Guide!$B$13,1))</f>
        <v/>
      </c>
      <c r="U500" s="18">
        <f>IF(T500="","",IF(T500&gt;=Guide!$B$15,"PRIORITY","Low"))</f>
        <v/>
      </c>
    </row>
    <row r="501">
      <c r="A501" s="19" t="n"/>
      <c r="B501" s="19" t="n"/>
      <c r="C501" s="19" t="n"/>
      <c r="D501" s="20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21" t="n"/>
      <c r="O501" s="19" t="n"/>
      <c r="P501" s="19" t="n"/>
      <c r="Q501" s="19" t="n"/>
      <c r="R501" s="19" t="n"/>
      <c r="S501" s="18">
        <f>IF(D501="","",INDEX(Guide!$B$18:$B$25,MATCH(D501,Guide!$A$18:$A$25,1)))</f>
        <v/>
      </c>
      <c r="T501" s="18">
        <f>IF(OR(C501="",P501="",Q501="",R501="",D501=""),"",ROUND(C501*Guide!$B$9+P501*Guide!$B$10+S501*Guide!$B$11+Q501*Guide!$B$12+(100-R501)*Guide!$B$13,1))</f>
        <v/>
      </c>
      <c r="U501" s="18">
        <f>IF(T501="","",IF(T501&gt;=Guide!$B$15,"PRIORITY","Low"))</f>
        <v/>
      </c>
    </row>
  </sheetData>
  <autoFilter ref="A1:U501"/>
  <conditionalFormatting sqref="U2:U501">
    <cfRule type="cellIs" priority="1" operator="equal" dxfId="0">
      <formula>"PRIORITY"</formula>
    </cfRule>
  </conditionalFormatting>
  <conditionalFormatting sqref="C2:C501">
    <cfRule type="expression" priority="2" dxfId="1">
      <formula>AND(C2&lt;&gt;"",C2&lt;70)</formula>
    </cfRule>
  </conditionalFormatting>
  <dataValidations count="3">
    <dataValidation sqref="K2:K501" showDropDown="0" showInputMessage="0" showErrorMessage="0" allowBlank="1" type="list">
      <formula1>Guide!$A$28:$A$37</formula1>
    </dataValidation>
    <dataValidation sqref="I2:I501" showDropDown="0" showInputMessage="0" showErrorMessage="0" allowBlank="1" type="list">
      <formula1>Guide!$C$28:$C$35</formula1>
    </dataValidation>
    <dataValidation sqref="F2:F501" showDropDown="0" showInputMessage="0" showErrorMessage="0" allowBlank="1" type="list">
      <formula1>"English,Arabic,Other"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40" customWidth="1" min="3" max="3"/>
    <col width="10" customWidth="1" min="4" max="4"/>
    <col width="12" customWidth="1" min="5" max="5"/>
    <col width="14" customWidth="1" min="6" max="6"/>
    <col width="22" customWidth="1" min="7" max="7"/>
    <col width="12" customWidth="1" min="8" max="8"/>
    <col width="18" customWidth="1" min="9" max="9"/>
    <col width="12" customWidth="1" min="10" max="10"/>
    <col width="12" customWidth="1" min="11" max="11"/>
  </cols>
  <sheetData>
    <row r="1" ht="32" customHeight="1">
      <c r="A1" s="14" t="inlineStr">
        <is>
          <t>Competitor</t>
        </is>
      </c>
      <c r="B1" s="14" t="inlineStr">
        <is>
          <t>Referring Domain</t>
        </is>
      </c>
      <c r="C1" s="14" t="inlineStr">
        <is>
          <t>Backlink URL</t>
        </is>
      </c>
      <c r="D1" s="14" t="inlineStr">
        <is>
          <t>DR (Ahrefs)</t>
        </is>
      </c>
      <c r="E1" s="14" t="inlineStr">
        <is>
          <t>Authority Score (Semrush)</t>
        </is>
      </c>
      <c r="F1" s="14" t="inlineStr">
        <is>
          <t>Organic Traffic</t>
        </is>
      </c>
      <c r="G1" s="14" t="inlineStr">
        <is>
          <t>Anchor Text</t>
        </is>
      </c>
      <c r="H1" s="14" t="inlineStr">
        <is>
          <t>Link Type</t>
        </is>
      </c>
      <c r="I1" s="14" t="inlineStr">
        <is>
          <t>Content Category</t>
        </is>
      </c>
      <c r="J1" s="14" t="inlineStr">
        <is>
          <t>Date Found</t>
        </is>
      </c>
      <c r="K1" s="14" t="inlineStr">
        <is>
          <t>Qualifies (DR70+)</t>
        </is>
      </c>
    </row>
    <row r="2">
      <c r="A2" s="15" t="inlineStr">
        <is>
          <t>competitor-drama.example</t>
        </is>
      </c>
      <c r="B2" s="15" t="inlineStr">
        <is>
          <t>animenewsdaily.example</t>
        </is>
      </c>
      <c r="C2" s="15" t="inlineStr">
        <is>
          <t>https://animenewsdaily.example/top-cdramas-2026</t>
        </is>
      </c>
      <c r="D2" s="15" t="n">
        <v>78</v>
      </c>
      <c r="E2" s="15" t="n">
        <v>61</v>
      </c>
      <c r="F2" s="16" t="n">
        <v>420000</v>
      </c>
      <c r="G2" s="15" t="inlineStr">
        <is>
          <t>Chinese drama guide</t>
        </is>
      </c>
      <c r="H2" s="15" t="inlineStr">
        <is>
          <t>Dofollow</t>
        </is>
      </c>
      <c r="I2" s="15" t="inlineStr">
        <is>
          <t>Entertainment list</t>
        </is>
      </c>
      <c r="J2" s="17" t="n">
        <v>46290</v>
      </c>
      <c r="K2" s="18">
        <f>IF(D2="","",IF(D2&gt;=70,"YES","no"))</f>
        <v/>
      </c>
    </row>
    <row r="3">
      <c r="A3" s="19" t="n"/>
      <c r="B3" s="19" t="n"/>
      <c r="C3" s="19" t="n"/>
      <c r="D3" s="19" t="n"/>
      <c r="E3" s="19" t="n"/>
      <c r="F3" s="20" t="n"/>
      <c r="G3" s="19" t="n"/>
      <c r="H3" s="19" t="n"/>
      <c r="I3" s="19" t="n"/>
      <c r="J3" s="21" t="n"/>
      <c r="K3" s="18">
        <f>IF(D3="","",IF(D3&gt;=70,"YES","no"))</f>
        <v/>
      </c>
    </row>
    <row r="4">
      <c r="A4" s="19" t="n"/>
      <c r="B4" s="19" t="n"/>
      <c r="C4" s="19" t="n"/>
      <c r="D4" s="19" t="n"/>
      <c r="E4" s="19" t="n"/>
      <c r="F4" s="20" t="n"/>
      <c r="G4" s="19" t="n"/>
      <c r="H4" s="19" t="n"/>
      <c r="I4" s="19" t="n"/>
      <c r="J4" s="21" t="n"/>
      <c r="K4" s="18">
        <f>IF(D4="","",IF(D4&gt;=70,"YES","no"))</f>
        <v/>
      </c>
    </row>
    <row r="5">
      <c r="A5" s="19" t="n"/>
      <c r="B5" s="19" t="n"/>
      <c r="C5" s="19" t="n"/>
      <c r="D5" s="19" t="n"/>
      <c r="E5" s="19" t="n"/>
      <c r="F5" s="20" t="n"/>
      <c r="G5" s="19" t="n"/>
      <c r="H5" s="19" t="n"/>
      <c r="I5" s="19" t="n"/>
      <c r="J5" s="21" t="n"/>
      <c r="K5" s="18">
        <f>IF(D5="","",IF(D5&gt;=70,"YES","no"))</f>
        <v/>
      </c>
    </row>
    <row r="6">
      <c r="A6" s="19" t="n"/>
      <c r="B6" s="19" t="n"/>
      <c r="C6" s="19" t="n"/>
      <c r="D6" s="19" t="n"/>
      <c r="E6" s="19" t="n"/>
      <c r="F6" s="20" t="n"/>
      <c r="G6" s="19" t="n"/>
      <c r="H6" s="19" t="n"/>
      <c r="I6" s="19" t="n"/>
      <c r="J6" s="21" t="n"/>
      <c r="K6" s="18">
        <f>IF(D6="","",IF(D6&gt;=70,"YES","no"))</f>
        <v/>
      </c>
    </row>
    <row r="7">
      <c r="A7" s="19" t="n"/>
      <c r="B7" s="19" t="n"/>
      <c r="C7" s="19" t="n"/>
      <c r="D7" s="19" t="n"/>
      <c r="E7" s="19" t="n"/>
      <c r="F7" s="20" t="n"/>
      <c r="G7" s="19" t="n"/>
      <c r="H7" s="19" t="n"/>
      <c r="I7" s="19" t="n"/>
      <c r="J7" s="21" t="n"/>
      <c r="K7" s="18">
        <f>IF(D7="","",IF(D7&gt;=70,"YES","no"))</f>
        <v/>
      </c>
    </row>
    <row r="8">
      <c r="A8" s="19" t="n"/>
      <c r="B8" s="19" t="n"/>
      <c r="C8" s="19" t="n"/>
      <c r="D8" s="19" t="n"/>
      <c r="E8" s="19" t="n"/>
      <c r="F8" s="20" t="n"/>
      <c r="G8" s="19" t="n"/>
      <c r="H8" s="19" t="n"/>
      <c r="I8" s="19" t="n"/>
      <c r="J8" s="21" t="n"/>
      <c r="K8" s="18">
        <f>IF(D8="","",IF(D8&gt;=70,"YES","no"))</f>
        <v/>
      </c>
    </row>
    <row r="9">
      <c r="A9" s="19" t="n"/>
      <c r="B9" s="19" t="n"/>
      <c r="C9" s="19" t="n"/>
      <c r="D9" s="19" t="n"/>
      <c r="E9" s="19" t="n"/>
      <c r="F9" s="20" t="n"/>
      <c r="G9" s="19" t="n"/>
      <c r="H9" s="19" t="n"/>
      <c r="I9" s="19" t="n"/>
      <c r="J9" s="21" t="n"/>
      <c r="K9" s="18">
        <f>IF(D9="","",IF(D9&gt;=70,"YES","no"))</f>
        <v/>
      </c>
    </row>
    <row r="10">
      <c r="A10" s="19" t="n"/>
      <c r="B10" s="19" t="n"/>
      <c r="C10" s="19" t="n"/>
      <c r="D10" s="19" t="n"/>
      <c r="E10" s="19" t="n"/>
      <c r="F10" s="20" t="n"/>
      <c r="G10" s="19" t="n"/>
      <c r="H10" s="19" t="n"/>
      <c r="I10" s="19" t="n"/>
      <c r="J10" s="21" t="n"/>
      <c r="K10" s="18">
        <f>IF(D10="","",IF(D10&gt;=70,"YES","no"))</f>
        <v/>
      </c>
    </row>
    <row r="11">
      <c r="A11" s="19" t="n"/>
      <c r="B11" s="19" t="n"/>
      <c r="C11" s="19" t="n"/>
      <c r="D11" s="19" t="n"/>
      <c r="E11" s="19" t="n"/>
      <c r="F11" s="20" t="n"/>
      <c r="G11" s="19" t="n"/>
      <c r="H11" s="19" t="n"/>
      <c r="I11" s="19" t="n"/>
      <c r="J11" s="21" t="n"/>
      <c r="K11" s="18">
        <f>IF(D11="","",IF(D11&gt;=70,"YES","no"))</f>
        <v/>
      </c>
    </row>
    <row r="12">
      <c r="A12" s="19" t="n"/>
      <c r="B12" s="19" t="n"/>
      <c r="C12" s="19" t="n"/>
      <c r="D12" s="19" t="n"/>
      <c r="E12" s="19" t="n"/>
      <c r="F12" s="20" t="n"/>
      <c r="G12" s="19" t="n"/>
      <c r="H12" s="19" t="n"/>
      <c r="I12" s="19" t="n"/>
      <c r="J12" s="21" t="n"/>
      <c r="K12" s="18">
        <f>IF(D12="","",IF(D12&gt;=70,"YES","no"))</f>
        <v/>
      </c>
    </row>
    <row r="13">
      <c r="A13" s="19" t="n"/>
      <c r="B13" s="19" t="n"/>
      <c r="C13" s="19" t="n"/>
      <c r="D13" s="19" t="n"/>
      <c r="E13" s="19" t="n"/>
      <c r="F13" s="20" t="n"/>
      <c r="G13" s="19" t="n"/>
      <c r="H13" s="19" t="n"/>
      <c r="I13" s="19" t="n"/>
      <c r="J13" s="21" t="n"/>
      <c r="K13" s="18">
        <f>IF(D13="","",IF(D13&gt;=70,"YES","no"))</f>
        <v/>
      </c>
    </row>
    <row r="14">
      <c r="A14" s="19" t="n"/>
      <c r="B14" s="19" t="n"/>
      <c r="C14" s="19" t="n"/>
      <c r="D14" s="19" t="n"/>
      <c r="E14" s="19" t="n"/>
      <c r="F14" s="20" t="n"/>
      <c r="G14" s="19" t="n"/>
      <c r="H14" s="19" t="n"/>
      <c r="I14" s="19" t="n"/>
      <c r="J14" s="21" t="n"/>
      <c r="K14" s="18">
        <f>IF(D14="","",IF(D14&gt;=70,"YES","no"))</f>
        <v/>
      </c>
    </row>
    <row r="15">
      <c r="A15" s="19" t="n"/>
      <c r="B15" s="19" t="n"/>
      <c r="C15" s="19" t="n"/>
      <c r="D15" s="19" t="n"/>
      <c r="E15" s="19" t="n"/>
      <c r="F15" s="20" t="n"/>
      <c r="G15" s="19" t="n"/>
      <c r="H15" s="19" t="n"/>
      <c r="I15" s="19" t="n"/>
      <c r="J15" s="21" t="n"/>
      <c r="K15" s="18">
        <f>IF(D15="","",IF(D15&gt;=70,"YES","no"))</f>
        <v/>
      </c>
    </row>
    <row r="16">
      <c r="A16" s="19" t="n"/>
      <c r="B16" s="19" t="n"/>
      <c r="C16" s="19" t="n"/>
      <c r="D16" s="19" t="n"/>
      <c r="E16" s="19" t="n"/>
      <c r="F16" s="20" t="n"/>
      <c r="G16" s="19" t="n"/>
      <c r="H16" s="19" t="n"/>
      <c r="I16" s="19" t="n"/>
      <c r="J16" s="21" t="n"/>
      <c r="K16" s="18">
        <f>IF(D16="","",IF(D16&gt;=70,"YES","no"))</f>
        <v/>
      </c>
    </row>
    <row r="17">
      <c r="A17" s="19" t="n"/>
      <c r="B17" s="19" t="n"/>
      <c r="C17" s="19" t="n"/>
      <c r="D17" s="19" t="n"/>
      <c r="E17" s="19" t="n"/>
      <c r="F17" s="20" t="n"/>
      <c r="G17" s="19" t="n"/>
      <c r="H17" s="19" t="n"/>
      <c r="I17" s="19" t="n"/>
      <c r="J17" s="21" t="n"/>
      <c r="K17" s="18">
        <f>IF(D17="","",IF(D17&gt;=70,"YES","no"))</f>
        <v/>
      </c>
    </row>
    <row r="18">
      <c r="A18" s="19" t="n"/>
      <c r="B18" s="19" t="n"/>
      <c r="C18" s="19" t="n"/>
      <c r="D18" s="19" t="n"/>
      <c r="E18" s="19" t="n"/>
      <c r="F18" s="20" t="n"/>
      <c r="G18" s="19" t="n"/>
      <c r="H18" s="19" t="n"/>
      <c r="I18" s="19" t="n"/>
      <c r="J18" s="21" t="n"/>
      <c r="K18" s="18">
        <f>IF(D18="","",IF(D18&gt;=70,"YES","no"))</f>
        <v/>
      </c>
    </row>
    <row r="19">
      <c r="A19" s="19" t="n"/>
      <c r="B19" s="19" t="n"/>
      <c r="C19" s="19" t="n"/>
      <c r="D19" s="19" t="n"/>
      <c r="E19" s="19" t="n"/>
      <c r="F19" s="20" t="n"/>
      <c r="G19" s="19" t="n"/>
      <c r="H19" s="19" t="n"/>
      <c r="I19" s="19" t="n"/>
      <c r="J19" s="21" t="n"/>
      <c r="K19" s="18">
        <f>IF(D19="","",IF(D19&gt;=70,"YES","no"))</f>
        <v/>
      </c>
    </row>
    <row r="20">
      <c r="A20" s="19" t="n"/>
      <c r="B20" s="19" t="n"/>
      <c r="C20" s="19" t="n"/>
      <c r="D20" s="19" t="n"/>
      <c r="E20" s="19" t="n"/>
      <c r="F20" s="20" t="n"/>
      <c r="G20" s="19" t="n"/>
      <c r="H20" s="19" t="n"/>
      <c r="I20" s="19" t="n"/>
      <c r="J20" s="21" t="n"/>
      <c r="K20" s="18">
        <f>IF(D20="","",IF(D20&gt;=70,"YES","no"))</f>
        <v/>
      </c>
    </row>
    <row r="21">
      <c r="A21" s="19" t="n"/>
      <c r="B21" s="19" t="n"/>
      <c r="C21" s="19" t="n"/>
      <c r="D21" s="19" t="n"/>
      <c r="E21" s="19" t="n"/>
      <c r="F21" s="20" t="n"/>
      <c r="G21" s="19" t="n"/>
      <c r="H21" s="19" t="n"/>
      <c r="I21" s="19" t="n"/>
      <c r="J21" s="21" t="n"/>
      <c r="K21" s="18">
        <f>IF(D21="","",IF(D21&gt;=70,"YES","no"))</f>
        <v/>
      </c>
    </row>
    <row r="22">
      <c r="A22" s="19" t="n"/>
      <c r="B22" s="19" t="n"/>
      <c r="C22" s="19" t="n"/>
      <c r="D22" s="19" t="n"/>
      <c r="E22" s="19" t="n"/>
      <c r="F22" s="20" t="n"/>
      <c r="G22" s="19" t="n"/>
      <c r="H22" s="19" t="n"/>
      <c r="I22" s="19" t="n"/>
      <c r="J22" s="21" t="n"/>
      <c r="K22" s="18">
        <f>IF(D22="","",IF(D22&gt;=70,"YES","no"))</f>
        <v/>
      </c>
    </row>
    <row r="23">
      <c r="A23" s="19" t="n"/>
      <c r="B23" s="19" t="n"/>
      <c r="C23" s="19" t="n"/>
      <c r="D23" s="19" t="n"/>
      <c r="E23" s="19" t="n"/>
      <c r="F23" s="20" t="n"/>
      <c r="G23" s="19" t="n"/>
      <c r="H23" s="19" t="n"/>
      <c r="I23" s="19" t="n"/>
      <c r="J23" s="21" t="n"/>
      <c r="K23" s="18">
        <f>IF(D23="","",IF(D23&gt;=70,"YES","no"))</f>
        <v/>
      </c>
    </row>
    <row r="24">
      <c r="A24" s="19" t="n"/>
      <c r="B24" s="19" t="n"/>
      <c r="C24" s="19" t="n"/>
      <c r="D24" s="19" t="n"/>
      <c r="E24" s="19" t="n"/>
      <c r="F24" s="20" t="n"/>
      <c r="G24" s="19" t="n"/>
      <c r="H24" s="19" t="n"/>
      <c r="I24" s="19" t="n"/>
      <c r="J24" s="21" t="n"/>
      <c r="K24" s="18">
        <f>IF(D24="","",IF(D24&gt;=70,"YES","no"))</f>
        <v/>
      </c>
    </row>
    <row r="25">
      <c r="A25" s="19" t="n"/>
      <c r="B25" s="19" t="n"/>
      <c r="C25" s="19" t="n"/>
      <c r="D25" s="19" t="n"/>
      <c r="E25" s="19" t="n"/>
      <c r="F25" s="20" t="n"/>
      <c r="G25" s="19" t="n"/>
      <c r="H25" s="19" t="n"/>
      <c r="I25" s="19" t="n"/>
      <c r="J25" s="21" t="n"/>
      <c r="K25" s="18">
        <f>IF(D25="","",IF(D25&gt;=70,"YES","no"))</f>
        <v/>
      </c>
    </row>
    <row r="26">
      <c r="A26" s="19" t="n"/>
      <c r="B26" s="19" t="n"/>
      <c r="C26" s="19" t="n"/>
      <c r="D26" s="19" t="n"/>
      <c r="E26" s="19" t="n"/>
      <c r="F26" s="20" t="n"/>
      <c r="G26" s="19" t="n"/>
      <c r="H26" s="19" t="n"/>
      <c r="I26" s="19" t="n"/>
      <c r="J26" s="21" t="n"/>
      <c r="K26" s="18">
        <f>IF(D26="","",IF(D26&gt;=70,"YES","no"))</f>
        <v/>
      </c>
    </row>
    <row r="27">
      <c r="A27" s="19" t="n"/>
      <c r="B27" s="19" t="n"/>
      <c r="C27" s="19" t="n"/>
      <c r="D27" s="19" t="n"/>
      <c r="E27" s="19" t="n"/>
      <c r="F27" s="20" t="n"/>
      <c r="G27" s="19" t="n"/>
      <c r="H27" s="19" t="n"/>
      <c r="I27" s="19" t="n"/>
      <c r="J27" s="21" t="n"/>
      <c r="K27" s="18">
        <f>IF(D27="","",IF(D27&gt;=70,"YES","no"))</f>
        <v/>
      </c>
    </row>
    <row r="28">
      <c r="A28" s="19" t="n"/>
      <c r="B28" s="19" t="n"/>
      <c r="C28" s="19" t="n"/>
      <c r="D28" s="19" t="n"/>
      <c r="E28" s="19" t="n"/>
      <c r="F28" s="20" t="n"/>
      <c r="G28" s="19" t="n"/>
      <c r="H28" s="19" t="n"/>
      <c r="I28" s="19" t="n"/>
      <c r="J28" s="21" t="n"/>
      <c r="K28" s="18">
        <f>IF(D28="","",IF(D28&gt;=70,"YES","no"))</f>
        <v/>
      </c>
    </row>
    <row r="29">
      <c r="A29" s="19" t="n"/>
      <c r="B29" s="19" t="n"/>
      <c r="C29" s="19" t="n"/>
      <c r="D29" s="19" t="n"/>
      <c r="E29" s="19" t="n"/>
      <c r="F29" s="20" t="n"/>
      <c r="G29" s="19" t="n"/>
      <c r="H29" s="19" t="n"/>
      <c r="I29" s="19" t="n"/>
      <c r="J29" s="21" t="n"/>
      <c r="K29" s="18">
        <f>IF(D29="","",IF(D29&gt;=70,"YES","no"))</f>
        <v/>
      </c>
    </row>
    <row r="30">
      <c r="A30" s="19" t="n"/>
      <c r="B30" s="19" t="n"/>
      <c r="C30" s="19" t="n"/>
      <c r="D30" s="19" t="n"/>
      <c r="E30" s="19" t="n"/>
      <c r="F30" s="20" t="n"/>
      <c r="G30" s="19" t="n"/>
      <c r="H30" s="19" t="n"/>
      <c r="I30" s="19" t="n"/>
      <c r="J30" s="21" t="n"/>
      <c r="K30" s="18">
        <f>IF(D30="","",IF(D30&gt;=70,"YES","no"))</f>
        <v/>
      </c>
    </row>
    <row r="31">
      <c r="A31" s="19" t="n"/>
      <c r="B31" s="19" t="n"/>
      <c r="C31" s="19" t="n"/>
      <c r="D31" s="19" t="n"/>
      <c r="E31" s="19" t="n"/>
      <c r="F31" s="20" t="n"/>
      <c r="G31" s="19" t="n"/>
      <c r="H31" s="19" t="n"/>
      <c r="I31" s="19" t="n"/>
      <c r="J31" s="21" t="n"/>
      <c r="K31" s="18">
        <f>IF(D31="","",IF(D31&gt;=70,"YES","no"))</f>
        <v/>
      </c>
    </row>
    <row r="32">
      <c r="A32" s="19" t="n"/>
      <c r="B32" s="19" t="n"/>
      <c r="C32" s="19" t="n"/>
      <c r="D32" s="19" t="n"/>
      <c r="E32" s="19" t="n"/>
      <c r="F32" s="20" t="n"/>
      <c r="G32" s="19" t="n"/>
      <c r="H32" s="19" t="n"/>
      <c r="I32" s="19" t="n"/>
      <c r="J32" s="21" t="n"/>
      <c r="K32" s="18">
        <f>IF(D32="","",IF(D32&gt;=70,"YES","no"))</f>
        <v/>
      </c>
    </row>
    <row r="33">
      <c r="A33" s="19" t="n"/>
      <c r="B33" s="19" t="n"/>
      <c r="C33" s="19" t="n"/>
      <c r="D33" s="19" t="n"/>
      <c r="E33" s="19" t="n"/>
      <c r="F33" s="20" t="n"/>
      <c r="G33" s="19" t="n"/>
      <c r="H33" s="19" t="n"/>
      <c r="I33" s="19" t="n"/>
      <c r="J33" s="21" t="n"/>
      <c r="K33" s="18">
        <f>IF(D33="","",IF(D33&gt;=70,"YES","no"))</f>
        <v/>
      </c>
    </row>
    <row r="34">
      <c r="A34" s="19" t="n"/>
      <c r="B34" s="19" t="n"/>
      <c r="C34" s="19" t="n"/>
      <c r="D34" s="19" t="n"/>
      <c r="E34" s="19" t="n"/>
      <c r="F34" s="20" t="n"/>
      <c r="G34" s="19" t="n"/>
      <c r="H34" s="19" t="n"/>
      <c r="I34" s="19" t="n"/>
      <c r="J34" s="21" t="n"/>
      <c r="K34" s="18">
        <f>IF(D34="","",IF(D34&gt;=70,"YES","no"))</f>
        <v/>
      </c>
    </row>
    <row r="35">
      <c r="A35" s="19" t="n"/>
      <c r="B35" s="19" t="n"/>
      <c r="C35" s="19" t="n"/>
      <c r="D35" s="19" t="n"/>
      <c r="E35" s="19" t="n"/>
      <c r="F35" s="20" t="n"/>
      <c r="G35" s="19" t="n"/>
      <c r="H35" s="19" t="n"/>
      <c r="I35" s="19" t="n"/>
      <c r="J35" s="21" t="n"/>
      <c r="K35" s="18">
        <f>IF(D35="","",IF(D35&gt;=70,"YES","no"))</f>
        <v/>
      </c>
    </row>
    <row r="36">
      <c r="A36" s="19" t="n"/>
      <c r="B36" s="19" t="n"/>
      <c r="C36" s="19" t="n"/>
      <c r="D36" s="19" t="n"/>
      <c r="E36" s="19" t="n"/>
      <c r="F36" s="20" t="n"/>
      <c r="G36" s="19" t="n"/>
      <c r="H36" s="19" t="n"/>
      <c r="I36" s="19" t="n"/>
      <c r="J36" s="21" t="n"/>
      <c r="K36" s="18">
        <f>IF(D36="","",IF(D36&gt;=70,"YES","no"))</f>
        <v/>
      </c>
    </row>
    <row r="37">
      <c r="A37" s="19" t="n"/>
      <c r="B37" s="19" t="n"/>
      <c r="C37" s="19" t="n"/>
      <c r="D37" s="19" t="n"/>
      <c r="E37" s="19" t="n"/>
      <c r="F37" s="20" t="n"/>
      <c r="G37" s="19" t="n"/>
      <c r="H37" s="19" t="n"/>
      <c r="I37" s="19" t="n"/>
      <c r="J37" s="21" t="n"/>
      <c r="K37" s="18">
        <f>IF(D37="","",IF(D37&gt;=70,"YES","no"))</f>
        <v/>
      </c>
    </row>
    <row r="38">
      <c r="A38" s="19" t="n"/>
      <c r="B38" s="19" t="n"/>
      <c r="C38" s="19" t="n"/>
      <c r="D38" s="19" t="n"/>
      <c r="E38" s="19" t="n"/>
      <c r="F38" s="20" t="n"/>
      <c r="G38" s="19" t="n"/>
      <c r="H38" s="19" t="n"/>
      <c r="I38" s="19" t="n"/>
      <c r="J38" s="21" t="n"/>
      <c r="K38" s="18">
        <f>IF(D38="","",IF(D38&gt;=70,"YES","no"))</f>
        <v/>
      </c>
    </row>
    <row r="39">
      <c r="A39" s="19" t="n"/>
      <c r="B39" s="19" t="n"/>
      <c r="C39" s="19" t="n"/>
      <c r="D39" s="19" t="n"/>
      <c r="E39" s="19" t="n"/>
      <c r="F39" s="20" t="n"/>
      <c r="G39" s="19" t="n"/>
      <c r="H39" s="19" t="n"/>
      <c r="I39" s="19" t="n"/>
      <c r="J39" s="21" t="n"/>
      <c r="K39" s="18">
        <f>IF(D39="","",IF(D39&gt;=70,"YES","no"))</f>
        <v/>
      </c>
    </row>
    <row r="40">
      <c r="A40" s="19" t="n"/>
      <c r="B40" s="19" t="n"/>
      <c r="C40" s="19" t="n"/>
      <c r="D40" s="19" t="n"/>
      <c r="E40" s="19" t="n"/>
      <c r="F40" s="20" t="n"/>
      <c r="G40" s="19" t="n"/>
      <c r="H40" s="19" t="n"/>
      <c r="I40" s="19" t="n"/>
      <c r="J40" s="21" t="n"/>
      <c r="K40" s="18">
        <f>IF(D40="","",IF(D40&gt;=70,"YES","no"))</f>
        <v/>
      </c>
    </row>
    <row r="41">
      <c r="A41" s="19" t="n"/>
      <c r="B41" s="19" t="n"/>
      <c r="C41" s="19" t="n"/>
      <c r="D41" s="19" t="n"/>
      <c r="E41" s="19" t="n"/>
      <c r="F41" s="20" t="n"/>
      <c r="G41" s="19" t="n"/>
      <c r="H41" s="19" t="n"/>
      <c r="I41" s="19" t="n"/>
      <c r="J41" s="21" t="n"/>
      <c r="K41" s="18">
        <f>IF(D41="","",IF(D41&gt;=70,"YES","no"))</f>
        <v/>
      </c>
    </row>
    <row r="42">
      <c r="A42" s="19" t="n"/>
      <c r="B42" s="19" t="n"/>
      <c r="C42" s="19" t="n"/>
      <c r="D42" s="19" t="n"/>
      <c r="E42" s="19" t="n"/>
      <c r="F42" s="20" t="n"/>
      <c r="G42" s="19" t="n"/>
      <c r="H42" s="19" t="n"/>
      <c r="I42" s="19" t="n"/>
      <c r="J42" s="21" t="n"/>
      <c r="K42" s="18">
        <f>IF(D42="","",IF(D42&gt;=70,"YES","no"))</f>
        <v/>
      </c>
    </row>
    <row r="43">
      <c r="A43" s="19" t="n"/>
      <c r="B43" s="19" t="n"/>
      <c r="C43" s="19" t="n"/>
      <c r="D43" s="19" t="n"/>
      <c r="E43" s="19" t="n"/>
      <c r="F43" s="20" t="n"/>
      <c r="G43" s="19" t="n"/>
      <c r="H43" s="19" t="n"/>
      <c r="I43" s="19" t="n"/>
      <c r="J43" s="21" t="n"/>
      <c r="K43" s="18">
        <f>IF(D43="","",IF(D43&gt;=70,"YES","no"))</f>
        <v/>
      </c>
    </row>
    <row r="44">
      <c r="A44" s="19" t="n"/>
      <c r="B44" s="19" t="n"/>
      <c r="C44" s="19" t="n"/>
      <c r="D44" s="19" t="n"/>
      <c r="E44" s="19" t="n"/>
      <c r="F44" s="20" t="n"/>
      <c r="G44" s="19" t="n"/>
      <c r="H44" s="19" t="n"/>
      <c r="I44" s="19" t="n"/>
      <c r="J44" s="21" t="n"/>
      <c r="K44" s="18">
        <f>IF(D44="","",IF(D44&gt;=70,"YES","no"))</f>
        <v/>
      </c>
    </row>
    <row r="45">
      <c r="A45" s="19" t="n"/>
      <c r="B45" s="19" t="n"/>
      <c r="C45" s="19" t="n"/>
      <c r="D45" s="19" t="n"/>
      <c r="E45" s="19" t="n"/>
      <c r="F45" s="20" t="n"/>
      <c r="G45" s="19" t="n"/>
      <c r="H45" s="19" t="n"/>
      <c r="I45" s="19" t="n"/>
      <c r="J45" s="21" t="n"/>
      <c r="K45" s="18">
        <f>IF(D45="","",IF(D45&gt;=70,"YES","no"))</f>
        <v/>
      </c>
    </row>
    <row r="46">
      <c r="A46" s="19" t="n"/>
      <c r="B46" s="19" t="n"/>
      <c r="C46" s="19" t="n"/>
      <c r="D46" s="19" t="n"/>
      <c r="E46" s="19" t="n"/>
      <c r="F46" s="20" t="n"/>
      <c r="G46" s="19" t="n"/>
      <c r="H46" s="19" t="n"/>
      <c r="I46" s="19" t="n"/>
      <c r="J46" s="21" t="n"/>
      <c r="K46" s="18">
        <f>IF(D46="","",IF(D46&gt;=70,"YES","no"))</f>
        <v/>
      </c>
    </row>
    <row r="47">
      <c r="A47" s="19" t="n"/>
      <c r="B47" s="19" t="n"/>
      <c r="C47" s="19" t="n"/>
      <c r="D47" s="19" t="n"/>
      <c r="E47" s="19" t="n"/>
      <c r="F47" s="20" t="n"/>
      <c r="G47" s="19" t="n"/>
      <c r="H47" s="19" t="n"/>
      <c r="I47" s="19" t="n"/>
      <c r="J47" s="21" t="n"/>
      <c r="K47" s="18">
        <f>IF(D47="","",IF(D47&gt;=70,"YES","no"))</f>
        <v/>
      </c>
    </row>
    <row r="48">
      <c r="A48" s="19" t="n"/>
      <c r="B48" s="19" t="n"/>
      <c r="C48" s="19" t="n"/>
      <c r="D48" s="19" t="n"/>
      <c r="E48" s="19" t="n"/>
      <c r="F48" s="20" t="n"/>
      <c r="G48" s="19" t="n"/>
      <c r="H48" s="19" t="n"/>
      <c r="I48" s="19" t="n"/>
      <c r="J48" s="21" t="n"/>
      <c r="K48" s="18">
        <f>IF(D48="","",IF(D48&gt;=70,"YES","no"))</f>
        <v/>
      </c>
    </row>
    <row r="49">
      <c r="A49" s="19" t="n"/>
      <c r="B49" s="19" t="n"/>
      <c r="C49" s="19" t="n"/>
      <c r="D49" s="19" t="n"/>
      <c r="E49" s="19" t="n"/>
      <c r="F49" s="20" t="n"/>
      <c r="G49" s="19" t="n"/>
      <c r="H49" s="19" t="n"/>
      <c r="I49" s="19" t="n"/>
      <c r="J49" s="21" t="n"/>
      <c r="K49" s="18">
        <f>IF(D49="","",IF(D49&gt;=70,"YES","no"))</f>
        <v/>
      </c>
    </row>
    <row r="50">
      <c r="A50" s="19" t="n"/>
      <c r="B50" s="19" t="n"/>
      <c r="C50" s="19" t="n"/>
      <c r="D50" s="19" t="n"/>
      <c r="E50" s="19" t="n"/>
      <c r="F50" s="20" t="n"/>
      <c r="G50" s="19" t="n"/>
      <c r="H50" s="19" t="n"/>
      <c r="I50" s="19" t="n"/>
      <c r="J50" s="21" t="n"/>
      <c r="K50" s="18">
        <f>IF(D50="","",IF(D50&gt;=70,"YES","no"))</f>
        <v/>
      </c>
    </row>
    <row r="51">
      <c r="A51" s="19" t="n"/>
      <c r="B51" s="19" t="n"/>
      <c r="C51" s="19" t="n"/>
      <c r="D51" s="19" t="n"/>
      <c r="E51" s="19" t="n"/>
      <c r="F51" s="20" t="n"/>
      <c r="G51" s="19" t="n"/>
      <c r="H51" s="19" t="n"/>
      <c r="I51" s="19" t="n"/>
      <c r="J51" s="21" t="n"/>
      <c r="K51" s="18">
        <f>IF(D51="","",IF(D51&gt;=70,"YES","no"))</f>
        <v/>
      </c>
    </row>
    <row r="52">
      <c r="A52" s="19" t="n"/>
      <c r="B52" s="19" t="n"/>
      <c r="C52" s="19" t="n"/>
      <c r="D52" s="19" t="n"/>
      <c r="E52" s="19" t="n"/>
      <c r="F52" s="20" t="n"/>
      <c r="G52" s="19" t="n"/>
      <c r="H52" s="19" t="n"/>
      <c r="I52" s="19" t="n"/>
      <c r="J52" s="21" t="n"/>
      <c r="K52" s="18">
        <f>IF(D52="","",IF(D52&gt;=70,"YES","no"))</f>
        <v/>
      </c>
    </row>
    <row r="53">
      <c r="A53" s="19" t="n"/>
      <c r="B53" s="19" t="n"/>
      <c r="C53" s="19" t="n"/>
      <c r="D53" s="19" t="n"/>
      <c r="E53" s="19" t="n"/>
      <c r="F53" s="20" t="n"/>
      <c r="G53" s="19" t="n"/>
      <c r="H53" s="19" t="n"/>
      <c r="I53" s="19" t="n"/>
      <c r="J53" s="21" t="n"/>
      <c r="K53" s="18">
        <f>IF(D53="","",IF(D53&gt;=70,"YES","no"))</f>
        <v/>
      </c>
    </row>
    <row r="54">
      <c r="A54" s="19" t="n"/>
      <c r="B54" s="19" t="n"/>
      <c r="C54" s="19" t="n"/>
      <c r="D54" s="19" t="n"/>
      <c r="E54" s="19" t="n"/>
      <c r="F54" s="20" t="n"/>
      <c r="G54" s="19" t="n"/>
      <c r="H54" s="19" t="n"/>
      <c r="I54" s="19" t="n"/>
      <c r="J54" s="21" t="n"/>
      <c r="K54" s="18">
        <f>IF(D54="","",IF(D54&gt;=70,"YES","no"))</f>
        <v/>
      </c>
    </row>
    <row r="55">
      <c r="A55" s="19" t="n"/>
      <c r="B55" s="19" t="n"/>
      <c r="C55" s="19" t="n"/>
      <c r="D55" s="19" t="n"/>
      <c r="E55" s="19" t="n"/>
      <c r="F55" s="20" t="n"/>
      <c r="G55" s="19" t="n"/>
      <c r="H55" s="19" t="n"/>
      <c r="I55" s="19" t="n"/>
      <c r="J55" s="21" t="n"/>
      <c r="K55" s="18">
        <f>IF(D55="","",IF(D55&gt;=70,"YES","no"))</f>
        <v/>
      </c>
    </row>
    <row r="56">
      <c r="A56" s="19" t="n"/>
      <c r="B56" s="19" t="n"/>
      <c r="C56" s="19" t="n"/>
      <c r="D56" s="19" t="n"/>
      <c r="E56" s="19" t="n"/>
      <c r="F56" s="20" t="n"/>
      <c r="G56" s="19" t="n"/>
      <c r="H56" s="19" t="n"/>
      <c r="I56" s="19" t="n"/>
      <c r="J56" s="21" t="n"/>
      <c r="K56" s="18">
        <f>IF(D56="","",IF(D56&gt;=70,"YES","no"))</f>
        <v/>
      </c>
    </row>
    <row r="57">
      <c r="A57" s="19" t="n"/>
      <c r="B57" s="19" t="n"/>
      <c r="C57" s="19" t="n"/>
      <c r="D57" s="19" t="n"/>
      <c r="E57" s="19" t="n"/>
      <c r="F57" s="20" t="n"/>
      <c r="G57" s="19" t="n"/>
      <c r="H57" s="19" t="n"/>
      <c r="I57" s="19" t="n"/>
      <c r="J57" s="21" t="n"/>
      <c r="K57" s="18">
        <f>IF(D57="","",IF(D57&gt;=70,"YES","no"))</f>
        <v/>
      </c>
    </row>
    <row r="58">
      <c r="A58" s="19" t="n"/>
      <c r="B58" s="19" t="n"/>
      <c r="C58" s="19" t="n"/>
      <c r="D58" s="19" t="n"/>
      <c r="E58" s="19" t="n"/>
      <c r="F58" s="20" t="n"/>
      <c r="G58" s="19" t="n"/>
      <c r="H58" s="19" t="n"/>
      <c r="I58" s="19" t="n"/>
      <c r="J58" s="21" t="n"/>
      <c r="K58" s="18">
        <f>IF(D58="","",IF(D58&gt;=70,"YES","no"))</f>
        <v/>
      </c>
    </row>
    <row r="59">
      <c r="A59" s="19" t="n"/>
      <c r="B59" s="19" t="n"/>
      <c r="C59" s="19" t="n"/>
      <c r="D59" s="19" t="n"/>
      <c r="E59" s="19" t="n"/>
      <c r="F59" s="20" t="n"/>
      <c r="G59" s="19" t="n"/>
      <c r="H59" s="19" t="n"/>
      <c r="I59" s="19" t="n"/>
      <c r="J59" s="21" t="n"/>
      <c r="K59" s="18">
        <f>IF(D59="","",IF(D59&gt;=70,"YES","no"))</f>
        <v/>
      </c>
    </row>
    <row r="60">
      <c r="A60" s="19" t="n"/>
      <c r="B60" s="19" t="n"/>
      <c r="C60" s="19" t="n"/>
      <c r="D60" s="19" t="n"/>
      <c r="E60" s="19" t="n"/>
      <c r="F60" s="20" t="n"/>
      <c r="G60" s="19" t="n"/>
      <c r="H60" s="19" t="n"/>
      <c r="I60" s="19" t="n"/>
      <c r="J60" s="21" t="n"/>
      <c r="K60" s="18">
        <f>IF(D60="","",IF(D60&gt;=70,"YES","no"))</f>
        <v/>
      </c>
    </row>
    <row r="61">
      <c r="A61" s="19" t="n"/>
      <c r="B61" s="19" t="n"/>
      <c r="C61" s="19" t="n"/>
      <c r="D61" s="19" t="n"/>
      <c r="E61" s="19" t="n"/>
      <c r="F61" s="20" t="n"/>
      <c r="G61" s="19" t="n"/>
      <c r="H61" s="19" t="n"/>
      <c r="I61" s="19" t="n"/>
      <c r="J61" s="21" t="n"/>
      <c r="K61" s="18">
        <f>IF(D61="","",IF(D61&gt;=70,"YES","no"))</f>
        <v/>
      </c>
    </row>
    <row r="62">
      <c r="A62" s="19" t="n"/>
      <c r="B62" s="19" t="n"/>
      <c r="C62" s="19" t="n"/>
      <c r="D62" s="19" t="n"/>
      <c r="E62" s="19" t="n"/>
      <c r="F62" s="20" t="n"/>
      <c r="G62" s="19" t="n"/>
      <c r="H62" s="19" t="n"/>
      <c r="I62" s="19" t="n"/>
      <c r="J62" s="21" t="n"/>
      <c r="K62" s="18">
        <f>IF(D62="","",IF(D62&gt;=70,"YES","no"))</f>
        <v/>
      </c>
    </row>
    <row r="63">
      <c r="A63" s="19" t="n"/>
      <c r="B63" s="19" t="n"/>
      <c r="C63" s="19" t="n"/>
      <c r="D63" s="19" t="n"/>
      <c r="E63" s="19" t="n"/>
      <c r="F63" s="20" t="n"/>
      <c r="G63" s="19" t="n"/>
      <c r="H63" s="19" t="n"/>
      <c r="I63" s="19" t="n"/>
      <c r="J63" s="21" t="n"/>
      <c r="K63" s="18">
        <f>IF(D63="","",IF(D63&gt;=70,"YES","no"))</f>
        <v/>
      </c>
    </row>
    <row r="64">
      <c r="A64" s="19" t="n"/>
      <c r="B64" s="19" t="n"/>
      <c r="C64" s="19" t="n"/>
      <c r="D64" s="19" t="n"/>
      <c r="E64" s="19" t="n"/>
      <c r="F64" s="20" t="n"/>
      <c r="G64" s="19" t="n"/>
      <c r="H64" s="19" t="n"/>
      <c r="I64" s="19" t="n"/>
      <c r="J64" s="21" t="n"/>
      <c r="K64" s="18">
        <f>IF(D64="","",IF(D64&gt;=70,"YES","no"))</f>
        <v/>
      </c>
    </row>
    <row r="65">
      <c r="A65" s="19" t="n"/>
      <c r="B65" s="19" t="n"/>
      <c r="C65" s="19" t="n"/>
      <c r="D65" s="19" t="n"/>
      <c r="E65" s="19" t="n"/>
      <c r="F65" s="20" t="n"/>
      <c r="G65" s="19" t="n"/>
      <c r="H65" s="19" t="n"/>
      <c r="I65" s="19" t="n"/>
      <c r="J65" s="21" t="n"/>
      <c r="K65" s="18">
        <f>IF(D65="","",IF(D65&gt;=70,"YES","no"))</f>
        <v/>
      </c>
    </row>
    <row r="66">
      <c r="A66" s="19" t="n"/>
      <c r="B66" s="19" t="n"/>
      <c r="C66" s="19" t="n"/>
      <c r="D66" s="19" t="n"/>
      <c r="E66" s="19" t="n"/>
      <c r="F66" s="20" t="n"/>
      <c r="G66" s="19" t="n"/>
      <c r="H66" s="19" t="n"/>
      <c r="I66" s="19" t="n"/>
      <c r="J66" s="21" t="n"/>
      <c r="K66" s="18">
        <f>IF(D66="","",IF(D66&gt;=70,"YES","no"))</f>
        <v/>
      </c>
    </row>
    <row r="67">
      <c r="A67" s="19" t="n"/>
      <c r="B67" s="19" t="n"/>
      <c r="C67" s="19" t="n"/>
      <c r="D67" s="19" t="n"/>
      <c r="E67" s="19" t="n"/>
      <c r="F67" s="20" t="n"/>
      <c r="G67" s="19" t="n"/>
      <c r="H67" s="19" t="n"/>
      <c r="I67" s="19" t="n"/>
      <c r="J67" s="21" t="n"/>
      <c r="K67" s="18">
        <f>IF(D67="","",IF(D67&gt;=70,"YES","no"))</f>
        <v/>
      </c>
    </row>
    <row r="68">
      <c r="A68" s="19" t="n"/>
      <c r="B68" s="19" t="n"/>
      <c r="C68" s="19" t="n"/>
      <c r="D68" s="19" t="n"/>
      <c r="E68" s="19" t="n"/>
      <c r="F68" s="20" t="n"/>
      <c r="G68" s="19" t="n"/>
      <c r="H68" s="19" t="n"/>
      <c r="I68" s="19" t="n"/>
      <c r="J68" s="21" t="n"/>
      <c r="K68" s="18">
        <f>IF(D68="","",IF(D68&gt;=70,"YES","no"))</f>
        <v/>
      </c>
    </row>
    <row r="69">
      <c r="A69" s="19" t="n"/>
      <c r="B69" s="19" t="n"/>
      <c r="C69" s="19" t="n"/>
      <c r="D69" s="19" t="n"/>
      <c r="E69" s="19" t="n"/>
      <c r="F69" s="20" t="n"/>
      <c r="G69" s="19" t="n"/>
      <c r="H69" s="19" t="n"/>
      <c r="I69" s="19" t="n"/>
      <c r="J69" s="21" t="n"/>
      <c r="K69" s="18">
        <f>IF(D69="","",IF(D69&gt;=70,"YES","no"))</f>
        <v/>
      </c>
    </row>
    <row r="70">
      <c r="A70" s="19" t="n"/>
      <c r="B70" s="19" t="n"/>
      <c r="C70" s="19" t="n"/>
      <c r="D70" s="19" t="n"/>
      <c r="E70" s="19" t="n"/>
      <c r="F70" s="20" t="n"/>
      <c r="G70" s="19" t="n"/>
      <c r="H70" s="19" t="n"/>
      <c r="I70" s="19" t="n"/>
      <c r="J70" s="21" t="n"/>
      <c r="K70" s="18">
        <f>IF(D70="","",IF(D70&gt;=70,"YES","no"))</f>
        <v/>
      </c>
    </row>
    <row r="71">
      <c r="A71" s="19" t="n"/>
      <c r="B71" s="19" t="n"/>
      <c r="C71" s="19" t="n"/>
      <c r="D71" s="19" t="n"/>
      <c r="E71" s="19" t="n"/>
      <c r="F71" s="20" t="n"/>
      <c r="G71" s="19" t="n"/>
      <c r="H71" s="19" t="n"/>
      <c r="I71" s="19" t="n"/>
      <c r="J71" s="21" t="n"/>
      <c r="K71" s="18">
        <f>IF(D71="","",IF(D71&gt;=70,"YES","no"))</f>
        <v/>
      </c>
    </row>
    <row r="72">
      <c r="A72" s="19" t="n"/>
      <c r="B72" s="19" t="n"/>
      <c r="C72" s="19" t="n"/>
      <c r="D72" s="19" t="n"/>
      <c r="E72" s="19" t="n"/>
      <c r="F72" s="20" t="n"/>
      <c r="G72" s="19" t="n"/>
      <c r="H72" s="19" t="n"/>
      <c r="I72" s="19" t="n"/>
      <c r="J72" s="21" t="n"/>
      <c r="K72" s="18">
        <f>IF(D72="","",IF(D72&gt;=70,"YES","no"))</f>
        <v/>
      </c>
    </row>
    <row r="73">
      <c r="A73" s="19" t="n"/>
      <c r="B73" s="19" t="n"/>
      <c r="C73" s="19" t="n"/>
      <c r="D73" s="19" t="n"/>
      <c r="E73" s="19" t="n"/>
      <c r="F73" s="20" t="n"/>
      <c r="G73" s="19" t="n"/>
      <c r="H73" s="19" t="n"/>
      <c r="I73" s="19" t="n"/>
      <c r="J73" s="21" t="n"/>
      <c r="K73" s="18">
        <f>IF(D73="","",IF(D73&gt;=70,"YES","no"))</f>
        <v/>
      </c>
    </row>
    <row r="74">
      <c r="A74" s="19" t="n"/>
      <c r="B74" s="19" t="n"/>
      <c r="C74" s="19" t="n"/>
      <c r="D74" s="19" t="n"/>
      <c r="E74" s="19" t="n"/>
      <c r="F74" s="20" t="n"/>
      <c r="G74" s="19" t="n"/>
      <c r="H74" s="19" t="n"/>
      <c r="I74" s="19" t="n"/>
      <c r="J74" s="21" t="n"/>
      <c r="K74" s="18">
        <f>IF(D74="","",IF(D74&gt;=70,"YES","no"))</f>
        <v/>
      </c>
    </row>
    <row r="75">
      <c r="A75" s="19" t="n"/>
      <c r="B75" s="19" t="n"/>
      <c r="C75" s="19" t="n"/>
      <c r="D75" s="19" t="n"/>
      <c r="E75" s="19" t="n"/>
      <c r="F75" s="20" t="n"/>
      <c r="G75" s="19" t="n"/>
      <c r="H75" s="19" t="n"/>
      <c r="I75" s="19" t="n"/>
      <c r="J75" s="21" t="n"/>
      <c r="K75" s="18">
        <f>IF(D75="","",IF(D75&gt;=70,"YES","no"))</f>
        <v/>
      </c>
    </row>
    <row r="76">
      <c r="A76" s="19" t="n"/>
      <c r="B76" s="19" t="n"/>
      <c r="C76" s="19" t="n"/>
      <c r="D76" s="19" t="n"/>
      <c r="E76" s="19" t="n"/>
      <c r="F76" s="20" t="n"/>
      <c r="G76" s="19" t="n"/>
      <c r="H76" s="19" t="n"/>
      <c r="I76" s="19" t="n"/>
      <c r="J76" s="21" t="n"/>
      <c r="K76" s="18">
        <f>IF(D76="","",IF(D76&gt;=70,"YES","no"))</f>
        <v/>
      </c>
    </row>
    <row r="77">
      <c r="A77" s="19" t="n"/>
      <c r="B77" s="19" t="n"/>
      <c r="C77" s="19" t="n"/>
      <c r="D77" s="19" t="n"/>
      <c r="E77" s="19" t="n"/>
      <c r="F77" s="20" t="n"/>
      <c r="G77" s="19" t="n"/>
      <c r="H77" s="19" t="n"/>
      <c r="I77" s="19" t="n"/>
      <c r="J77" s="21" t="n"/>
      <c r="K77" s="18">
        <f>IF(D77="","",IF(D77&gt;=70,"YES","no"))</f>
        <v/>
      </c>
    </row>
    <row r="78">
      <c r="A78" s="19" t="n"/>
      <c r="B78" s="19" t="n"/>
      <c r="C78" s="19" t="n"/>
      <c r="D78" s="19" t="n"/>
      <c r="E78" s="19" t="n"/>
      <c r="F78" s="20" t="n"/>
      <c r="G78" s="19" t="n"/>
      <c r="H78" s="19" t="n"/>
      <c r="I78" s="19" t="n"/>
      <c r="J78" s="21" t="n"/>
      <c r="K78" s="18">
        <f>IF(D78="","",IF(D78&gt;=70,"YES","no"))</f>
        <v/>
      </c>
    </row>
    <row r="79">
      <c r="A79" s="19" t="n"/>
      <c r="B79" s="19" t="n"/>
      <c r="C79" s="19" t="n"/>
      <c r="D79" s="19" t="n"/>
      <c r="E79" s="19" t="n"/>
      <c r="F79" s="20" t="n"/>
      <c r="G79" s="19" t="n"/>
      <c r="H79" s="19" t="n"/>
      <c r="I79" s="19" t="n"/>
      <c r="J79" s="21" t="n"/>
      <c r="K79" s="18">
        <f>IF(D79="","",IF(D79&gt;=70,"YES","no"))</f>
        <v/>
      </c>
    </row>
    <row r="80">
      <c r="A80" s="19" t="n"/>
      <c r="B80" s="19" t="n"/>
      <c r="C80" s="19" t="n"/>
      <c r="D80" s="19" t="n"/>
      <c r="E80" s="19" t="n"/>
      <c r="F80" s="20" t="n"/>
      <c r="G80" s="19" t="n"/>
      <c r="H80" s="19" t="n"/>
      <c r="I80" s="19" t="n"/>
      <c r="J80" s="21" t="n"/>
      <c r="K80" s="18">
        <f>IF(D80="","",IF(D80&gt;=70,"YES","no"))</f>
        <v/>
      </c>
    </row>
    <row r="81">
      <c r="A81" s="19" t="n"/>
      <c r="B81" s="19" t="n"/>
      <c r="C81" s="19" t="n"/>
      <c r="D81" s="19" t="n"/>
      <c r="E81" s="19" t="n"/>
      <c r="F81" s="20" t="n"/>
      <c r="G81" s="19" t="n"/>
      <c r="H81" s="19" t="n"/>
      <c r="I81" s="19" t="n"/>
      <c r="J81" s="21" t="n"/>
      <c r="K81" s="18">
        <f>IF(D81="","",IF(D81&gt;=70,"YES","no"))</f>
        <v/>
      </c>
    </row>
    <row r="82">
      <c r="A82" s="19" t="n"/>
      <c r="B82" s="19" t="n"/>
      <c r="C82" s="19" t="n"/>
      <c r="D82" s="19" t="n"/>
      <c r="E82" s="19" t="n"/>
      <c r="F82" s="20" t="n"/>
      <c r="G82" s="19" t="n"/>
      <c r="H82" s="19" t="n"/>
      <c r="I82" s="19" t="n"/>
      <c r="J82" s="21" t="n"/>
      <c r="K82" s="18">
        <f>IF(D82="","",IF(D82&gt;=70,"YES","no"))</f>
        <v/>
      </c>
    </row>
    <row r="83">
      <c r="A83" s="19" t="n"/>
      <c r="B83" s="19" t="n"/>
      <c r="C83" s="19" t="n"/>
      <c r="D83" s="19" t="n"/>
      <c r="E83" s="19" t="n"/>
      <c r="F83" s="20" t="n"/>
      <c r="G83" s="19" t="n"/>
      <c r="H83" s="19" t="n"/>
      <c r="I83" s="19" t="n"/>
      <c r="J83" s="21" t="n"/>
      <c r="K83" s="18">
        <f>IF(D83="","",IF(D83&gt;=70,"YES","no"))</f>
        <v/>
      </c>
    </row>
    <row r="84">
      <c r="A84" s="19" t="n"/>
      <c r="B84" s="19" t="n"/>
      <c r="C84" s="19" t="n"/>
      <c r="D84" s="19" t="n"/>
      <c r="E84" s="19" t="n"/>
      <c r="F84" s="20" t="n"/>
      <c r="G84" s="19" t="n"/>
      <c r="H84" s="19" t="n"/>
      <c r="I84" s="19" t="n"/>
      <c r="J84" s="21" t="n"/>
      <c r="K84" s="18">
        <f>IF(D84="","",IF(D84&gt;=70,"YES","no"))</f>
        <v/>
      </c>
    </row>
    <row r="85">
      <c r="A85" s="19" t="n"/>
      <c r="B85" s="19" t="n"/>
      <c r="C85" s="19" t="n"/>
      <c r="D85" s="19" t="n"/>
      <c r="E85" s="19" t="n"/>
      <c r="F85" s="20" t="n"/>
      <c r="G85" s="19" t="n"/>
      <c r="H85" s="19" t="n"/>
      <c r="I85" s="19" t="n"/>
      <c r="J85" s="21" t="n"/>
      <c r="K85" s="18">
        <f>IF(D85="","",IF(D85&gt;=70,"YES","no"))</f>
        <v/>
      </c>
    </row>
    <row r="86">
      <c r="A86" s="19" t="n"/>
      <c r="B86" s="19" t="n"/>
      <c r="C86" s="19" t="n"/>
      <c r="D86" s="19" t="n"/>
      <c r="E86" s="19" t="n"/>
      <c r="F86" s="20" t="n"/>
      <c r="G86" s="19" t="n"/>
      <c r="H86" s="19" t="n"/>
      <c r="I86" s="19" t="n"/>
      <c r="J86" s="21" t="n"/>
      <c r="K86" s="18">
        <f>IF(D86="","",IF(D86&gt;=70,"YES","no"))</f>
        <v/>
      </c>
    </row>
    <row r="87">
      <c r="A87" s="19" t="n"/>
      <c r="B87" s="19" t="n"/>
      <c r="C87" s="19" t="n"/>
      <c r="D87" s="19" t="n"/>
      <c r="E87" s="19" t="n"/>
      <c r="F87" s="20" t="n"/>
      <c r="G87" s="19" t="n"/>
      <c r="H87" s="19" t="n"/>
      <c r="I87" s="19" t="n"/>
      <c r="J87" s="21" t="n"/>
      <c r="K87" s="18">
        <f>IF(D87="","",IF(D87&gt;=70,"YES","no"))</f>
        <v/>
      </c>
    </row>
    <row r="88">
      <c r="A88" s="19" t="n"/>
      <c r="B88" s="19" t="n"/>
      <c r="C88" s="19" t="n"/>
      <c r="D88" s="19" t="n"/>
      <c r="E88" s="19" t="n"/>
      <c r="F88" s="20" t="n"/>
      <c r="G88" s="19" t="n"/>
      <c r="H88" s="19" t="n"/>
      <c r="I88" s="19" t="n"/>
      <c r="J88" s="21" t="n"/>
      <c r="K88" s="18">
        <f>IF(D88="","",IF(D88&gt;=70,"YES","no"))</f>
        <v/>
      </c>
    </row>
    <row r="89">
      <c r="A89" s="19" t="n"/>
      <c r="B89" s="19" t="n"/>
      <c r="C89" s="19" t="n"/>
      <c r="D89" s="19" t="n"/>
      <c r="E89" s="19" t="n"/>
      <c r="F89" s="20" t="n"/>
      <c r="G89" s="19" t="n"/>
      <c r="H89" s="19" t="n"/>
      <c r="I89" s="19" t="n"/>
      <c r="J89" s="21" t="n"/>
      <c r="K89" s="18">
        <f>IF(D89="","",IF(D89&gt;=70,"YES","no"))</f>
        <v/>
      </c>
    </row>
    <row r="90">
      <c r="A90" s="19" t="n"/>
      <c r="B90" s="19" t="n"/>
      <c r="C90" s="19" t="n"/>
      <c r="D90" s="19" t="n"/>
      <c r="E90" s="19" t="n"/>
      <c r="F90" s="20" t="n"/>
      <c r="G90" s="19" t="n"/>
      <c r="H90" s="19" t="n"/>
      <c r="I90" s="19" t="n"/>
      <c r="J90" s="21" t="n"/>
      <c r="K90" s="18">
        <f>IF(D90="","",IF(D90&gt;=70,"YES","no"))</f>
        <v/>
      </c>
    </row>
    <row r="91">
      <c r="A91" s="19" t="n"/>
      <c r="B91" s="19" t="n"/>
      <c r="C91" s="19" t="n"/>
      <c r="D91" s="19" t="n"/>
      <c r="E91" s="19" t="n"/>
      <c r="F91" s="20" t="n"/>
      <c r="G91" s="19" t="n"/>
      <c r="H91" s="19" t="n"/>
      <c r="I91" s="19" t="n"/>
      <c r="J91" s="21" t="n"/>
      <c r="K91" s="18">
        <f>IF(D91="","",IF(D91&gt;=70,"YES","no"))</f>
        <v/>
      </c>
    </row>
    <row r="92">
      <c r="A92" s="19" t="n"/>
      <c r="B92" s="19" t="n"/>
      <c r="C92" s="19" t="n"/>
      <c r="D92" s="19" t="n"/>
      <c r="E92" s="19" t="n"/>
      <c r="F92" s="20" t="n"/>
      <c r="G92" s="19" t="n"/>
      <c r="H92" s="19" t="n"/>
      <c r="I92" s="19" t="n"/>
      <c r="J92" s="21" t="n"/>
      <c r="K92" s="18">
        <f>IF(D92="","",IF(D92&gt;=70,"YES","no"))</f>
        <v/>
      </c>
    </row>
    <row r="93">
      <c r="A93" s="19" t="n"/>
      <c r="B93" s="19" t="n"/>
      <c r="C93" s="19" t="n"/>
      <c r="D93" s="19" t="n"/>
      <c r="E93" s="19" t="n"/>
      <c r="F93" s="20" t="n"/>
      <c r="G93" s="19" t="n"/>
      <c r="H93" s="19" t="n"/>
      <c r="I93" s="19" t="n"/>
      <c r="J93" s="21" t="n"/>
      <c r="K93" s="18">
        <f>IF(D93="","",IF(D93&gt;=70,"YES","no"))</f>
        <v/>
      </c>
    </row>
    <row r="94">
      <c r="A94" s="19" t="n"/>
      <c r="B94" s="19" t="n"/>
      <c r="C94" s="19" t="n"/>
      <c r="D94" s="19" t="n"/>
      <c r="E94" s="19" t="n"/>
      <c r="F94" s="20" t="n"/>
      <c r="G94" s="19" t="n"/>
      <c r="H94" s="19" t="n"/>
      <c r="I94" s="19" t="n"/>
      <c r="J94" s="21" t="n"/>
      <c r="K94" s="18">
        <f>IF(D94="","",IF(D94&gt;=70,"YES","no"))</f>
        <v/>
      </c>
    </row>
    <row r="95">
      <c r="A95" s="19" t="n"/>
      <c r="B95" s="19" t="n"/>
      <c r="C95" s="19" t="n"/>
      <c r="D95" s="19" t="n"/>
      <c r="E95" s="19" t="n"/>
      <c r="F95" s="20" t="n"/>
      <c r="G95" s="19" t="n"/>
      <c r="H95" s="19" t="n"/>
      <c r="I95" s="19" t="n"/>
      <c r="J95" s="21" t="n"/>
      <c r="K95" s="18">
        <f>IF(D95="","",IF(D95&gt;=70,"YES","no"))</f>
        <v/>
      </c>
    </row>
    <row r="96">
      <c r="A96" s="19" t="n"/>
      <c r="B96" s="19" t="n"/>
      <c r="C96" s="19" t="n"/>
      <c r="D96" s="19" t="n"/>
      <c r="E96" s="19" t="n"/>
      <c r="F96" s="20" t="n"/>
      <c r="G96" s="19" t="n"/>
      <c r="H96" s="19" t="n"/>
      <c r="I96" s="19" t="n"/>
      <c r="J96" s="21" t="n"/>
      <c r="K96" s="18">
        <f>IF(D96="","",IF(D96&gt;=70,"YES","no"))</f>
        <v/>
      </c>
    </row>
    <row r="97">
      <c r="A97" s="19" t="n"/>
      <c r="B97" s="19" t="n"/>
      <c r="C97" s="19" t="n"/>
      <c r="D97" s="19" t="n"/>
      <c r="E97" s="19" t="n"/>
      <c r="F97" s="20" t="n"/>
      <c r="G97" s="19" t="n"/>
      <c r="H97" s="19" t="n"/>
      <c r="I97" s="19" t="n"/>
      <c r="J97" s="21" t="n"/>
      <c r="K97" s="18">
        <f>IF(D97="","",IF(D97&gt;=70,"YES","no"))</f>
        <v/>
      </c>
    </row>
    <row r="98">
      <c r="A98" s="19" t="n"/>
      <c r="B98" s="19" t="n"/>
      <c r="C98" s="19" t="n"/>
      <c r="D98" s="19" t="n"/>
      <c r="E98" s="19" t="n"/>
      <c r="F98" s="20" t="n"/>
      <c r="G98" s="19" t="n"/>
      <c r="H98" s="19" t="n"/>
      <c r="I98" s="19" t="n"/>
      <c r="J98" s="21" t="n"/>
      <c r="K98" s="18">
        <f>IF(D98="","",IF(D98&gt;=70,"YES","no"))</f>
        <v/>
      </c>
    </row>
    <row r="99">
      <c r="A99" s="19" t="n"/>
      <c r="B99" s="19" t="n"/>
      <c r="C99" s="19" t="n"/>
      <c r="D99" s="19" t="n"/>
      <c r="E99" s="19" t="n"/>
      <c r="F99" s="20" t="n"/>
      <c r="G99" s="19" t="n"/>
      <c r="H99" s="19" t="n"/>
      <c r="I99" s="19" t="n"/>
      <c r="J99" s="21" t="n"/>
      <c r="K99" s="18">
        <f>IF(D99="","",IF(D99&gt;=70,"YES","no"))</f>
        <v/>
      </c>
    </row>
    <row r="100">
      <c r="A100" s="19" t="n"/>
      <c r="B100" s="19" t="n"/>
      <c r="C100" s="19" t="n"/>
      <c r="D100" s="19" t="n"/>
      <c r="E100" s="19" t="n"/>
      <c r="F100" s="20" t="n"/>
      <c r="G100" s="19" t="n"/>
      <c r="H100" s="19" t="n"/>
      <c r="I100" s="19" t="n"/>
      <c r="J100" s="21" t="n"/>
      <c r="K100" s="18">
        <f>IF(D100="","",IF(D100&gt;=70,"YES","no"))</f>
        <v/>
      </c>
    </row>
    <row r="101">
      <c r="A101" s="19" t="n"/>
      <c r="B101" s="19" t="n"/>
      <c r="C101" s="19" t="n"/>
      <c r="D101" s="19" t="n"/>
      <c r="E101" s="19" t="n"/>
      <c r="F101" s="20" t="n"/>
      <c r="G101" s="19" t="n"/>
      <c r="H101" s="19" t="n"/>
      <c r="I101" s="19" t="n"/>
      <c r="J101" s="21" t="n"/>
      <c r="K101" s="18">
        <f>IF(D101="","",IF(D101&gt;=70,"YES","no"))</f>
        <v/>
      </c>
    </row>
    <row r="102">
      <c r="A102" s="19" t="n"/>
      <c r="B102" s="19" t="n"/>
      <c r="C102" s="19" t="n"/>
      <c r="D102" s="19" t="n"/>
      <c r="E102" s="19" t="n"/>
      <c r="F102" s="20" t="n"/>
      <c r="G102" s="19" t="n"/>
      <c r="H102" s="19" t="n"/>
      <c r="I102" s="19" t="n"/>
      <c r="J102" s="21" t="n"/>
      <c r="K102" s="18">
        <f>IF(D102="","",IF(D102&gt;=70,"YES","no"))</f>
        <v/>
      </c>
    </row>
    <row r="103">
      <c r="A103" s="19" t="n"/>
      <c r="B103" s="19" t="n"/>
      <c r="C103" s="19" t="n"/>
      <c r="D103" s="19" t="n"/>
      <c r="E103" s="19" t="n"/>
      <c r="F103" s="20" t="n"/>
      <c r="G103" s="19" t="n"/>
      <c r="H103" s="19" t="n"/>
      <c r="I103" s="19" t="n"/>
      <c r="J103" s="21" t="n"/>
      <c r="K103" s="18">
        <f>IF(D103="","",IF(D103&gt;=70,"YES","no"))</f>
        <v/>
      </c>
    </row>
    <row r="104">
      <c r="A104" s="19" t="n"/>
      <c r="B104" s="19" t="n"/>
      <c r="C104" s="19" t="n"/>
      <c r="D104" s="19" t="n"/>
      <c r="E104" s="19" t="n"/>
      <c r="F104" s="20" t="n"/>
      <c r="G104" s="19" t="n"/>
      <c r="H104" s="19" t="n"/>
      <c r="I104" s="19" t="n"/>
      <c r="J104" s="21" t="n"/>
      <c r="K104" s="18">
        <f>IF(D104="","",IF(D104&gt;=70,"YES","no"))</f>
        <v/>
      </c>
    </row>
    <row r="105">
      <c r="A105" s="19" t="n"/>
      <c r="B105" s="19" t="n"/>
      <c r="C105" s="19" t="n"/>
      <c r="D105" s="19" t="n"/>
      <c r="E105" s="19" t="n"/>
      <c r="F105" s="20" t="n"/>
      <c r="G105" s="19" t="n"/>
      <c r="H105" s="19" t="n"/>
      <c r="I105" s="19" t="n"/>
      <c r="J105" s="21" t="n"/>
      <c r="K105" s="18">
        <f>IF(D105="","",IF(D105&gt;=70,"YES","no"))</f>
        <v/>
      </c>
    </row>
    <row r="106">
      <c r="A106" s="19" t="n"/>
      <c r="B106" s="19" t="n"/>
      <c r="C106" s="19" t="n"/>
      <c r="D106" s="19" t="n"/>
      <c r="E106" s="19" t="n"/>
      <c r="F106" s="20" t="n"/>
      <c r="G106" s="19" t="n"/>
      <c r="H106" s="19" t="n"/>
      <c r="I106" s="19" t="n"/>
      <c r="J106" s="21" t="n"/>
      <c r="K106" s="18">
        <f>IF(D106="","",IF(D106&gt;=70,"YES","no"))</f>
        <v/>
      </c>
    </row>
    <row r="107">
      <c r="A107" s="19" t="n"/>
      <c r="B107" s="19" t="n"/>
      <c r="C107" s="19" t="n"/>
      <c r="D107" s="19" t="n"/>
      <c r="E107" s="19" t="n"/>
      <c r="F107" s="20" t="n"/>
      <c r="G107" s="19" t="n"/>
      <c r="H107" s="19" t="n"/>
      <c r="I107" s="19" t="n"/>
      <c r="J107" s="21" t="n"/>
      <c r="K107" s="18">
        <f>IF(D107="","",IF(D107&gt;=70,"YES","no"))</f>
        <v/>
      </c>
    </row>
    <row r="108">
      <c r="A108" s="19" t="n"/>
      <c r="B108" s="19" t="n"/>
      <c r="C108" s="19" t="n"/>
      <c r="D108" s="19" t="n"/>
      <c r="E108" s="19" t="n"/>
      <c r="F108" s="20" t="n"/>
      <c r="G108" s="19" t="n"/>
      <c r="H108" s="19" t="n"/>
      <c r="I108" s="19" t="n"/>
      <c r="J108" s="21" t="n"/>
      <c r="K108" s="18">
        <f>IF(D108="","",IF(D108&gt;=70,"YES","no"))</f>
        <v/>
      </c>
    </row>
    <row r="109">
      <c r="A109" s="19" t="n"/>
      <c r="B109" s="19" t="n"/>
      <c r="C109" s="19" t="n"/>
      <c r="D109" s="19" t="n"/>
      <c r="E109" s="19" t="n"/>
      <c r="F109" s="20" t="n"/>
      <c r="G109" s="19" t="n"/>
      <c r="H109" s="19" t="n"/>
      <c r="I109" s="19" t="n"/>
      <c r="J109" s="21" t="n"/>
      <c r="K109" s="18">
        <f>IF(D109="","",IF(D109&gt;=70,"YES","no"))</f>
        <v/>
      </c>
    </row>
    <row r="110">
      <c r="A110" s="19" t="n"/>
      <c r="B110" s="19" t="n"/>
      <c r="C110" s="19" t="n"/>
      <c r="D110" s="19" t="n"/>
      <c r="E110" s="19" t="n"/>
      <c r="F110" s="20" t="n"/>
      <c r="G110" s="19" t="n"/>
      <c r="H110" s="19" t="n"/>
      <c r="I110" s="19" t="n"/>
      <c r="J110" s="21" t="n"/>
      <c r="K110" s="18">
        <f>IF(D110="","",IF(D110&gt;=70,"YES","no"))</f>
        <v/>
      </c>
    </row>
    <row r="111">
      <c r="A111" s="19" t="n"/>
      <c r="B111" s="19" t="n"/>
      <c r="C111" s="19" t="n"/>
      <c r="D111" s="19" t="n"/>
      <c r="E111" s="19" t="n"/>
      <c r="F111" s="20" t="n"/>
      <c r="G111" s="19" t="n"/>
      <c r="H111" s="19" t="n"/>
      <c r="I111" s="19" t="n"/>
      <c r="J111" s="21" t="n"/>
      <c r="K111" s="18">
        <f>IF(D111="","",IF(D111&gt;=70,"YES","no"))</f>
        <v/>
      </c>
    </row>
    <row r="112">
      <c r="A112" s="19" t="n"/>
      <c r="B112" s="19" t="n"/>
      <c r="C112" s="19" t="n"/>
      <c r="D112" s="19" t="n"/>
      <c r="E112" s="19" t="n"/>
      <c r="F112" s="20" t="n"/>
      <c r="G112" s="19" t="n"/>
      <c r="H112" s="19" t="n"/>
      <c r="I112" s="19" t="n"/>
      <c r="J112" s="21" t="n"/>
      <c r="K112" s="18">
        <f>IF(D112="","",IF(D112&gt;=70,"YES","no"))</f>
        <v/>
      </c>
    </row>
    <row r="113">
      <c r="A113" s="19" t="n"/>
      <c r="B113" s="19" t="n"/>
      <c r="C113" s="19" t="n"/>
      <c r="D113" s="19" t="n"/>
      <c r="E113" s="19" t="n"/>
      <c r="F113" s="20" t="n"/>
      <c r="G113" s="19" t="n"/>
      <c r="H113" s="19" t="n"/>
      <c r="I113" s="19" t="n"/>
      <c r="J113" s="21" t="n"/>
      <c r="K113" s="18">
        <f>IF(D113="","",IF(D113&gt;=70,"YES","no"))</f>
        <v/>
      </c>
    </row>
    <row r="114">
      <c r="A114" s="19" t="n"/>
      <c r="B114" s="19" t="n"/>
      <c r="C114" s="19" t="n"/>
      <c r="D114" s="19" t="n"/>
      <c r="E114" s="19" t="n"/>
      <c r="F114" s="20" t="n"/>
      <c r="G114" s="19" t="n"/>
      <c r="H114" s="19" t="n"/>
      <c r="I114" s="19" t="n"/>
      <c r="J114" s="21" t="n"/>
      <c r="K114" s="18">
        <f>IF(D114="","",IF(D114&gt;=70,"YES","no"))</f>
        <v/>
      </c>
    </row>
    <row r="115">
      <c r="A115" s="19" t="n"/>
      <c r="B115" s="19" t="n"/>
      <c r="C115" s="19" t="n"/>
      <c r="D115" s="19" t="n"/>
      <c r="E115" s="19" t="n"/>
      <c r="F115" s="20" t="n"/>
      <c r="G115" s="19" t="n"/>
      <c r="H115" s="19" t="n"/>
      <c r="I115" s="19" t="n"/>
      <c r="J115" s="21" t="n"/>
      <c r="K115" s="18">
        <f>IF(D115="","",IF(D115&gt;=70,"YES","no"))</f>
        <v/>
      </c>
    </row>
    <row r="116">
      <c r="A116" s="19" t="n"/>
      <c r="B116" s="19" t="n"/>
      <c r="C116" s="19" t="n"/>
      <c r="D116" s="19" t="n"/>
      <c r="E116" s="19" t="n"/>
      <c r="F116" s="20" t="n"/>
      <c r="G116" s="19" t="n"/>
      <c r="H116" s="19" t="n"/>
      <c r="I116" s="19" t="n"/>
      <c r="J116" s="21" t="n"/>
      <c r="K116" s="18">
        <f>IF(D116="","",IF(D116&gt;=70,"YES","no"))</f>
        <v/>
      </c>
    </row>
    <row r="117">
      <c r="A117" s="19" t="n"/>
      <c r="B117" s="19" t="n"/>
      <c r="C117" s="19" t="n"/>
      <c r="D117" s="19" t="n"/>
      <c r="E117" s="19" t="n"/>
      <c r="F117" s="20" t="n"/>
      <c r="G117" s="19" t="n"/>
      <c r="H117" s="19" t="n"/>
      <c r="I117" s="19" t="n"/>
      <c r="J117" s="21" t="n"/>
      <c r="K117" s="18">
        <f>IF(D117="","",IF(D117&gt;=70,"YES","no"))</f>
        <v/>
      </c>
    </row>
    <row r="118">
      <c r="A118" s="19" t="n"/>
      <c r="B118" s="19" t="n"/>
      <c r="C118" s="19" t="n"/>
      <c r="D118" s="19" t="n"/>
      <c r="E118" s="19" t="n"/>
      <c r="F118" s="20" t="n"/>
      <c r="G118" s="19" t="n"/>
      <c r="H118" s="19" t="n"/>
      <c r="I118" s="19" t="n"/>
      <c r="J118" s="21" t="n"/>
      <c r="K118" s="18">
        <f>IF(D118="","",IF(D118&gt;=70,"YES","no"))</f>
        <v/>
      </c>
    </row>
    <row r="119">
      <c r="A119" s="19" t="n"/>
      <c r="B119" s="19" t="n"/>
      <c r="C119" s="19" t="n"/>
      <c r="D119" s="19" t="n"/>
      <c r="E119" s="19" t="n"/>
      <c r="F119" s="20" t="n"/>
      <c r="G119" s="19" t="n"/>
      <c r="H119" s="19" t="n"/>
      <c r="I119" s="19" t="n"/>
      <c r="J119" s="21" t="n"/>
      <c r="K119" s="18">
        <f>IF(D119="","",IF(D119&gt;=70,"YES","no"))</f>
        <v/>
      </c>
    </row>
    <row r="120">
      <c r="A120" s="19" t="n"/>
      <c r="B120" s="19" t="n"/>
      <c r="C120" s="19" t="n"/>
      <c r="D120" s="19" t="n"/>
      <c r="E120" s="19" t="n"/>
      <c r="F120" s="20" t="n"/>
      <c r="G120" s="19" t="n"/>
      <c r="H120" s="19" t="n"/>
      <c r="I120" s="19" t="n"/>
      <c r="J120" s="21" t="n"/>
      <c r="K120" s="18">
        <f>IF(D120="","",IF(D120&gt;=70,"YES","no"))</f>
        <v/>
      </c>
    </row>
    <row r="121">
      <c r="A121" s="19" t="n"/>
      <c r="B121" s="19" t="n"/>
      <c r="C121" s="19" t="n"/>
      <c r="D121" s="19" t="n"/>
      <c r="E121" s="19" t="n"/>
      <c r="F121" s="20" t="n"/>
      <c r="G121" s="19" t="n"/>
      <c r="H121" s="19" t="n"/>
      <c r="I121" s="19" t="n"/>
      <c r="J121" s="21" t="n"/>
      <c r="K121" s="18">
        <f>IF(D121="","",IF(D121&gt;=70,"YES","no"))</f>
        <v/>
      </c>
    </row>
    <row r="122">
      <c r="A122" s="19" t="n"/>
      <c r="B122" s="19" t="n"/>
      <c r="C122" s="19" t="n"/>
      <c r="D122" s="19" t="n"/>
      <c r="E122" s="19" t="n"/>
      <c r="F122" s="20" t="n"/>
      <c r="G122" s="19" t="n"/>
      <c r="H122" s="19" t="n"/>
      <c r="I122" s="19" t="n"/>
      <c r="J122" s="21" t="n"/>
      <c r="K122" s="18">
        <f>IF(D122="","",IF(D122&gt;=70,"YES","no"))</f>
        <v/>
      </c>
    </row>
    <row r="123">
      <c r="A123" s="19" t="n"/>
      <c r="B123" s="19" t="n"/>
      <c r="C123" s="19" t="n"/>
      <c r="D123" s="19" t="n"/>
      <c r="E123" s="19" t="n"/>
      <c r="F123" s="20" t="n"/>
      <c r="G123" s="19" t="n"/>
      <c r="H123" s="19" t="n"/>
      <c r="I123" s="19" t="n"/>
      <c r="J123" s="21" t="n"/>
      <c r="K123" s="18">
        <f>IF(D123="","",IF(D123&gt;=70,"YES","no"))</f>
        <v/>
      </c>
    </row>
    <row r="124">
      <c r="A124" s="19" t="n"/>
      <c r="B124" s="19" t="n"/>
      <c r="C124" s="19" t="n"/>
      <c r="D124" s="19" t="n"/>
      <c r="E124" s="19" t="n"/>
      <c r="F124" s="20" t="n"/>
      <c r="G124" s="19" t="n"/>
      <c r="H124" s="19" t="n"/>
      <c r="I124" s="19" t="n"/>
      <c r="J124" s="21" t="n"/>
      <c r="K124" s="18">
        <f>IF(D124="","",IF(D124&gt;=70,"YES","no"))</f>
        <v/>
      </c>
    </row>
    <row r="125">
      <c r="A125" s="19" t="n"/>
      <c r="B125" s="19" t="n"/>
      <c r="C125" s="19" t="n"/>
      <c r="D125" s="19" t="n"/>
      <c r="E125" s="19" t="n"/>
      <c r="F125" s="20" t="n"/>
      <c r="G125" s="19" t="n"/>
      <c r="H125" s="19" t="n"/>
      <c r="I125" s="19" t="n"/>
      <c r="J125" s="21" t="n"/>
      <c r="K125" s="18">
        <f>IF(D125="","",IF(D125&gt;=70,"YES","no"))</f>
        <v/>
      </c>
    </row>
    <row r="126">
      <c r="A126" s="19" t="n"/>
      <c r="B126" s="19" t="n"/>
      <c r="C126" s="19" t="n"/>
      <c r="D126" s="19" t="n"/>
      <c r="E126" s="19" t="n"/>
      <c r="F126" s="20" t="n"/>
      <c r="G126" s="19" t="n"/>
      <c r="H126" s="19" t="n"/>
      <c r="I126" s="19" t="n"/>
      <c r="J126" s="21" t="n"/>
      <c r="K126" s="18">
        <f>IF(D126="","",IF(D126&gt;=70,"YES","no"))</f>
        <v/>
      </c>
    </row>
    <row r="127">
      <c r="A127" s="19" t="n"/>
      <c r="B127" s="19" t="n"/>
      <c r="C127" s="19" t="n"/>
      <c r="D127" s="19" t="n"/>
      <c r="E127" s="19" t="n"/>
      <c r="F127" s="20" t="n"/>
      <c r="G127" s="19" t="n"/>
      <c r="H127" s="19" t="n"/>
      <c r="I127" s="19" t="n"/>
      <c r="J127" s="21" t="n"/>
      <c r="K127" s="18">
        <f>IF(D127="","",IF(D127&gt;=70,"YES","no"))</f>
        <v/>
      </c>
    </row>
    <row r="128">
      <c r="A128" s="19" t="n"/>
      <c r="B128" s="19" t="n"/>
      <c r="C128" s="19" t="n"/>
      <c r="D128" s="19" t="n"/>
      <c r="E128" s="19" t="n"/>
      <c r="F128" s="20" t="n"/>
      <c r="G128" s="19" t="n"/>
      <c r="H128" s="19" t="n"/>
      <c r="I128" s="19" t="n"/>
      <c r="J128" s="21" t="n"/>
      <c r="K128" s="18">
        <f>IF(D128="","",IF(D128&gt;=70,"YES","no"))</f>
        <v/>
      </c>
    </row>
    <row r="129">
      <c r="A129" s="19" t="n"/>
      <c r="B129" s="19" t="n"/>
      <c r="C129" s="19" t="n"/>
      <c r="D129" s="19" t="n"/>
      <c r="E129" s="19" t="n"/>
      <c r="F129" s="20" t="n"/>
      <c r="G129" s="19" t="n"/>
      <c r="H129" s="19" t="n"/>
      <c r="I129" s="19" t="n"/>
      <c r="J129" s="21" t="n"/>
      <c r="K129" s="18">
        <f>IF(D129="","",IF(D129&gt;=70,"YES","no"))</f>
        <v/>
      </c>
    </row>
    <row r="130">
      <c r="A130" s="19" t="n"/>
      <c r="B130" s="19" t="n"/>
      <c r="C130" s="19" t="n"/>
      <c r="D130" s="19" t="n"/>
      <c r="E130" s="19" t="n"/>
      <c r="F130" s="20" t="n"/>
      <c r="G130" s="19" t="n"/>
      <c r="H130" s="19" t="n"/>
      <c r="I130" s="19" t="n"/>
      <c r="J130" s="21" t="n"/>
      <c r="K130" s="18">
        <f>IF(D130="","",IF(D130&gt;=70,"YES","no"))</f>
        <v/>
      </c>
    </row>
    <row r="131">
      <c r="A131" s="19" t="n"/>
      <c r="B131" s="19" t="n"/>
      <c r="C131" s="19" t="n"/>
      <c r="D131" s="19" t="n"/>
      <c r="E131" s="19" t="n"/>
      <c r="F131" s="20" t="n"/>
      <c r="G131" s="19" t="n"/>
      <c r="H131" s="19" t="n"/>
      <c r="I131" s="19" t="n"/>
      <c r="J131" s="21" t="n"/>
      <c r="K131" s="18">
        <f>IF(D131="","",IF(D131&gt;=70,"YES","no"))</f>
        <v/>
      </c>
    </row>
    <row r="132">
      <c r="A132" s="19" t="n"/>
      <c r="B132" s="19" t="n"/>
      <c r="C132" s="19" t="n"/>
      <c r="D132" s="19" t="n"/>
      <c r="E132" s="19" t="n"/>
      <c r="F132" s="20" t="n"/>
      <c r="G132" s="19" t="n"/>
      <c r="H132" s="19" t="n"/>
      <c r="I132" s="19" t="n"/>
      <c r="J132" s="21" t="n"/>
      <c r="K132" s="18">
        <f>IF(D132="","",IF(D132&gt;=70,"YES","no"))</f>
        <v/>
      </c>
    </row>
    <row r="133">
      <c r="A133" s="19" t="n"/>
      <c r="B133" s="19" t="n"/>
      <c r="C133" s="19" t="n"/>
      <c r="D133" s="19" t="n"/>
      <c r="E133" s="19" t="n"/>
      <c r="F133" s="20" t="n"/>
      <c r="G133" s="19" t="n"/>
      <c r="H133" s="19" t="n"/>
      <c r="I133" s="19" t="n"/>
      <c r="J133" s="21" t="n"/>
      <c r="K133" s="18">
        <f>IF(D133="","",IF(D133&gt;=70,"YES","no"))</f>
        <v/>
      </c>
    </row>
    <row r="134">
      <c r="A134" s="19" t="n"/>
      <c r="B134" s="19" t="n"/>
      <c r="C134" s="19" t="n"/>
      <c r="D134" s="19" t="n"/>
      <c r="E134" s="19" t="n"/>
      <c r="F134" s="20" t="n"/>
      <c r="G134" s="19" t="n"/>
      <c r="H134" s="19" t="n"/>
      <c r="I134" s="19" t="n"/>
      <c r="J134" s="21" t="n"/>
      <c r="K134" s="18">
        <f>IF(D134="","",IF(D134&gt;=70,"YES","no"))</f>
        <v/>
      </c>
    </row>
    <row r="135">
      <c r="A135" s="19" t="n"/>
      <c r="B135" s="19" t="n"/>
      <c r="C135" s="19" t="n"/>
      <c r="D135" s="19" t="n"/>
      <c r="E135" s="19" t="n"/>
      <c r="F135" s="20" t="n"/>
      <c r="G135" s="19" t="n"/>
      <c r="H135" s="19" t="n"/>
      <c r="I135" s="19" t="n"/>
      <c r="J135" s="21" t="n"/>
      <c r="K135" s="18">
        <f>IF(D135="","",IF(D135&gt;=70,"YES","no"))</f>
        <v/>
      </c>
    </row>
    <row r="136">
      <c r="A136" s="19" t="n"/>
      <c r="B136" s="19" t="n"/>
      <c r="C136" s="19" t="n"/>
      <c r="D136" s="19" t="n"/>
      <c r="E136" s="19" t="n"/>
      <c r="F136" s="20" t="n"/>
      <c r="G136" s="19" t="n"/>
      <c r="H136" s="19" t="n"/>
      <c r="I136" s="19" t="n"/>
      <c r="J136" s="21" t="n"/>
      <c r="K136" s="18">
        <f>IF(D136="","",IF(D136&gt;=70,"YES","no"))</f>
        <v/>
      </c>
    </row>
    <row r="137">
      <c r="A137" s="19" t="n"/>
      <c r="B137" s="19" t="n"/>
      <c r="C137" s="19" t="n"/>
      <c r="D137" s="19" t="n"/>
      <c r="E137" s="19" t="n"/>
      <c r="F137" s="20" t="n"/>
      <c r="G137" s="19" t="n"/>
      <c r="H137" s="19" t="n"/>
      <c r="I137" s="19" t="n"/>
      <c r="J137" s="21" t="n"/>
      <c r="K137" s="18">
        <f>IF(D137="","",IF(D137&gt;=70,"YES","no"))</f>
        <v/>
      </c>
    </row>
    <row r="138">
      <c r="A138" s="19" t="n"/>
      <c r="B138" s="19" t="n"/>
      <c r="C138" s="19" t="n"/>
      <c r="D138" s="19" t="n"/>
      <c r="E138" s="19" t="n"/>
      <c r="F138" s="20" t="n"/>
      <c r="G138" s="19" t="n"/>
      <c r="H138" s="19" t="n"/>
      <c r="I138" s="19" t="n"/>
      <c r="J138" s="21" t="n"/>
      <c r="K138" s="18">
        <f>IF(D138="","",IF(D138&gt;=70,"YES","no"))</f>
        <v/>
      </c>
    </row>
    <row r="139">
      <c r="A139" s="19" t="n"/>
      <c r="B139" s="19" t="n"/>
      <c r="C139" s="19" t="n"/>
      <c r="D139" s="19" t="n"/>
      <c r="E139" s="19" t="n"/>
      <c r="F139" s="20" t="n"/>
      <c r="G139" s="19" t="n"/>
      <c r="H139" s="19" t="n"/>
      <c r="I139" s="19" t="n"/>
      <c r="J139" s="21" t="n"/>
      <c r="K139" s="18">
        <f>IF(D139="","",IF(D139&gt;=70,"YES","no"))</f>
        <v/>
      </c>
    </row>
    <row r="140">
      <c r="A140" s="19" t="n"/>
      <c r="B140" s="19" t="n"/>
      <c r="C140" s="19" t="n"/>
      <c r="D140" s="19" t="n"/>
      <c r="E140" s="19" t="n"/>
      <c r="F140" s="20" t="n"/>
      <c r="G140" s="19" t="n"/>
      <c r="H140" s="19" t="n"/>
      <c r="I140" s="19" t="n"/>
      <c r="J140" s="21" t="n"/>
      <c r="K140" s="18">
        <f>IF(D140="","",IF(D140&gt;=70,"YES","no"))</f>
        <v/>
      </c>
    </row>
    <row r="141">
      <c r="A141" s="19" t="n"/>
      <c r="B141" s="19" t="n"/>
      <c r="C141" s="19" t="n"/>
      <c r="D141" s="19" t="n"/>
      <c r="E141" s="19" t="n"/>
      <c r="F141" s="20" t="n"/>
      <c r="G141" s="19" t="n"/>
      <c r="H141" s="19" t="n"/>
      <c r="I141" s="19" t="n"/>
      <c r="J141" s="21" t="n"/>
      <c r="K141" s="18">
        <f>IF(D141="","",IF(D141&gt;=70,"YES","no"))</f>
        <v/>
      </c>
    </row>
    <row r="142">
      <c r="A142" s="19" t="n"/>
      <c r="B142" s="19" t="n"/>
      <c r="C142" s="19" t="n"/>
      <c r="D142" s="19" t="n"/>
      <c r="E142" s="19" t="n"/>
      <c r="F142" s="20" t="n"/>
      <c r="G142" s="19" t="n"/>
      <c r="H142" s="19" t="n"/>
      <c r="I142" s="19" t="n"/>
      <c r="J142" s="21" t="n"/>
      <c r="K142" s="18">
        <f>IF(D142="","",IF(D142&gt;=70,"YES","no"))</f>
        <v/>
      </c>
    </row>
    <row r="143">
      <c r="A143" s="19" t="n"/>
      <c r="B143" s="19" t="n"/>
      <c r="C143" s="19" t="n"/>
      <c r="D143" s="19" t="n"/>
      <c r="E143" s="19" t="n"/>
      <c r="F143" s="20" t="n"/>
      <c r="G143" s="19" t="n"/>
      <c r="H143" s="19" t="n"/>
      <c r="I143" s="19" t="n"/>
      <c r="J143" s="21" t="n"/>
      <c r="K143" s="18">
        <f>IF(D143="","",IF(D143&gt;=70,"YES","no"))</f>
        <v/>
      </c>
    </row>
    <row r="144">
      <c r="A144" s="19" t="n"/>
      <c r="B144" s="19" t="n"/>
      <c r="C144" s="19" t="n"/>
      <c r="D144" s="19" t="n"/>
      <c r="E144" s="19" t="n"/>
      <c r="F144" s="20" t="n"/>
      <c r="G144" s="19" t="n"/>
      <c r="H144" s="19" t="n"/>
      <c r="I144" s="19" t="n"/>
      <c r="J144" s="21" t="n"/>
      <c r="K144" s="18">
        <f>IF(D144="","",IF(D144&gt;=70,"YES","no"))</f>
        <v/>
      </c>
    </row>
    <row r="145">
      <c r="A145" s="19" t="n"/>
      <c r="B145" s="19" t="n"/>
      <c r="C145" s="19" t="n"/>
      <c r="D145" s="19" t="n"/>
      <c r="E145" s="19" t="n"/>
      <c r="F145" s="20" t="n"/>
      <c r="G145" s="19" t="n"/>
      <c r="H145" s="19" t="n"/>
      <c r="I145" s="19" t="n"/>
      <c r="J145" s="21" t="n"/>
      <c r="K145" s="18">
        <f>IF(D145="","",IF(D145&gt;=70,"YES","no"))</f>
        <v/>
      </c>
    </row>
    <row r="146">
      <c r="A146" s="19" t="n"/>
      <c r="B146" s="19" t="n"/>
      <c r="C146" s="19" t="n"/>
      <c r="D146" s="19" t="n"/>
      <c r="E146" s="19" t="n"/>
      <c r="F146" s="20" t="n"/>
      <c r="G146" s="19" t="n"/>
      <c r="H146" s="19" t="n"/>
      <c r="I146" s="19" t="n"/>
      <c r="J146" s="21" t="n"/>
      <c r="K146" s="18">
        <f>IF(D146="","",IF(D146&gt;=70,"YES","no"))</f>
        <v/>
      </c>
    </row>
    <row r="147">
      <c r="A147" s="19" t="n"/>
      <c r="B147" s="19" t="n"/>
      <c r="C147" s="19" t="n"/>
      <c r="D147" s="19" t="n"/>
      <c r="E147" s="19" t="n"/>
      <c r="F147" s="20" t="n"/>
      <c r="G147" s="19" t="n"/>
      <c r="H147" s="19" t="n"/>
      <c r="I147" s="19" t="n"/>
      <c r="J147" s="21" t="n"/>
      <c r="K147" s="18">
        <f>IF(D147="","",IF(D147&gt;=70,"YES","no"))</f>
        <v/>
      </c>
    </row>
    <row r="148">
      <c r="A148" s="19" t="n"/>
      <c r="B148" s="19" t="n"/>
      <c r="C148" s="19" t="n"/>
      <c r="D148" s="19" t="n"/>
      <c r="E148" s="19" t="n"/>
      <c r="F148" s="20" t="n"/>
      <c r="G148" s="19" t="n"/>
      <c r="H148" s="19" t="n"/>
      <c r="I148" s="19" t="n"/>
      <c r="J148" s="21" t="n"/>
      <c r="K148" s="18">
        <f>IF(D148="","",IF(D148&gt;=70,"YES","no"))</f>
        <v/>
      </c>
    </row>
    <row r="149">
      <c r="A149" s="19" t="n"/>
      <c r="B149" s="19" t="n"/>
      <c r="C149" s="19" t="n"/>
      <c r="D149" s="19" t="n"/>
      <c r="E149" s="19" t="n"/>
      <c r="F149" s="20" t="n"/>
      <c r="G149" s="19" t="n"/>
      <c r="H149" s="19" t="n"/>
      <c r="I149" s="19" t="n"/>
      <c r="J149" s="21" t="n"/>
      <c r="K149" s="18">
        <f>IF(D149="","",IF(D149&gt;=70,"YES","no"))</f>
        <v/>
      </c>
    </row>
    <row r="150">
      <c r="A150" s="19" t="n"/>
      <c r="B150" s="19" t="n"/>
      <c r="C150" s="19" t="n"/>
      <c r="D150" s="19" t="n"/>
      <c r="E150" s="19" t="n"/>
      <c r="F150" s="20" t="n"/>
      <c r="G150" s="19" t="n"/>
      <c r="H150" s="19" t="n"/>
      <c r="I150" s="19" t="n"/>
      <c r="J150" s="21" t="n"/>
      <c r="K150" s="18">
        <f>IF(D150="","",IF(D150&gt;=70,"YES","no"))</f>
        <v/>
      </c>
    </row>
    <row r="151">
      <c r="A151" s="19" t="n"/>
      <c r="B151" s="19" t="n"/>
      <c r="C151" s="19" t="n"/>
      <c r="D151" s="19" t="n"/>
      <c r="E151" s="19" t="n"/>
      <c r="F151" s="20" t="n"/>
      <c r="G151" s="19" t="n"/>
      <c r="H151" s="19" t="n"/>
      <c r="I151" s="19" t="n"/>
      <c r="J151" s="21" t="n"/>
      <c r="K151" s="18">
        <f>IF(D151="","",IF(D151&gt;=70,"YES","no"))</f>
        <v/>
      </c>
    </row>
    <row r="152">
      <c r="A152" s="19" t="n"/>
      <c r="B152" s="19" t="n"/>
      <c r="C152" s="19" t="n"/>
      <c r="D152" s="19" t="n"/>
      <c r="E152" s="19" t="n"/>
      <c r="F152" s="20" t="n"/>
      <c r="G152" s="19" t="n"/>
      <c r="H152" s="19" t="n"/>
      <c r="I152" s="19" t="n"/>
      <c r="J152" s="21" t="n"/>
      <c r="K152" s="18">
        <f>IF(D152="","",IF(D152&gt;=70,"YES","no"))</f>
        <v/>
      </c>
    </row>
    <row r="153">
      <c r="A153" s="19" t="n"/>
      <c r="B153" s="19" t="n"/>
      <c r="C153" s="19" t="n"/>
      <c r="D153" s="19" t="n"/>
      <c r="E153" s="19" t="n"/>
      <c r="F153" s="20" t="n"/>
      <c r="G153" s="19" t="n"/>
      <c r="H153" s="19" t="n"/>
      <c r="I153" s="19" t="n"/>
      <c r="J153" s="21" t="n"/>
      <c r="K153" s="18">
        <f>IF(D153="","",IF(D153&gt;=70,"YES","no"))</f>
        <v/>
      </c>
    </row>
    <row r="154">
      <c r="A154" s="19" t="n"/>
      <c r="B154" s="19" t="n"/>
      <c r="C154" s="19" t="n"/>
      <c r="D154" s="19" t="n"/>
      <c r="E154" s="19" t="n"/>
      <c r="F154" s="20" t="n"/>
      <c r="G154" s="19" t="n"/>
      <c r="H154" s="19" t="n"/>
      <c r="I154" s="19" t="n"/>
      <c r="J154" s="21" t="n"/>
      <c r="K154" s="18">
        <f>IF(D154="","",IF(D154&gt;=70,"YES","no"))</f>
        <v/>
      </c>
    </row>
    <row r="155">
      <c r="A155" s="19" t="n"/>
      <c r="B155" s="19" t="n"/>
      <c r="C155" s="19" t="n"/>
      <c r="D155" s="19" t="n"/>
      <c r="E155" s="19" t="n"/>
      <c r="F155" s="20" t="n"/>
      <c r="G155" s="19" t="n"/>
      <c r="H155" s="19" t="n"/>
      <c r="I155" s="19" t="n"/>
      <c r="J155" s="21" t="n"/>
      <c r="K155" s="18">
        <f>IF(D155="","",IF(D155&gt;=70,"YES","no"))</f>
        <v/>
      </c>
    </row>
    <row r="156">
      <c r="A156" s="19" t="n"/>
      <c r="B156" s="19" t="n"/>
      <c r="C156" s="19" t="n"/>
      <c r="D156" s="19" t="n"/>
      <c r="E156" s="19" t="n"/>
      <c r="F156" s="20" t="n"/>
      <c r="G156" s="19" t="n"/>
      <c r="H156" s="19" t="n"/>
      <c r="I156" s="19" t="n"/>
      <c r="J156" s="21" t="n"/>
      <c r="K156" s="18">
        <f>IF(D156="","",IF(D156&gt;=70,"YES","no"))</f>
        <v/>
      </c>
    </row>
    <row r="157">
      <c r="A157" s="19" t="n"/>
      <c r="B157" s="19" t="n"/>
      <c r="C157" s="19" t="n"/>
      <c r="D157" s="19" t="n"/>
      <c r="E157" s="19" t="n"/>
      <c r="F157" s="20" t="n"/>
      <c r="G157" s="19" t="n"/>
      <c r="H157" s="19" t="n"/>
      <c r="I157" s="19" t="n"/>
      <c r="J157" s="21" t="n"/>
      <c r="K157" s="18">
        <f>IF(D157="","",IF(D157&gt;=70,"YES","no"))</f>
        <v/>
      </c>
    </row>
    <row r="158">
      <c r="A158" s="19" t="n"/>
      <c r="B158" s="19" t="n"/>
      <c r="C158" s="19" t="n"/>
      <c r="D158" s="19" t="n"/>
      <c r="E158" s="19" t="n"/>
      <c r="F158" s="20" t="n"/>
      <c r="G158" s="19" t="n"/>
      <c r="H158" s="19" t="n"/>
      <c r="I158" s="19" t="n"/>
      <c r="J158" s="21" t="n"/>
      <c r="K158" s="18">
        <f>IF(D158="","",IF(D158&gt;=70,"YES","no"))</f>
        <v/>
      </c>
    </row>
    <row r="159">
      <c r="A159" s="19" t="n"/>
      <c r="B159" s="19" t="n"/>
      <c r="C159" s="19" t="n"/>
      <c r="D159" s="19" t="n"/>
      <c r="E159" s="19" t="n"/>
      <c r="F159" s="20" t="n"/>
      <c r="G159" s="19" t="n"/>
      <c r="H159" s="19" t="n"/>
      <c r="I159" s="19" t="n"/>
      <c r="J159" s="21" t="n"/>
      <c r="K159" s="18">
        <f>IF(D159="","",IF(D159&gt;=70,"YES","no"))</f>
        <v/>
      </c>
    </row>
    <row r="160">
      <c r="A160" s="19" t="n"/>
      <c r="B160" s="19" t="n"/>
      <c r="C160" s="19" t="n"/>
      <c r="D160" s="19" t="n"/>
      <c r="E160" s="19" t="n"/>
      <c r="F160" s="20" t="n"/>
      <c r="G160" s="19" t="n"/>
      <c r="H160" s="19" t="n"/>
      <c r="I160" s="19" t="n"/>
      <c r="J160" s="21" t="n"/>
      <c r="K160" s="18">
        <f>IF(D160="","",IF(D160&gt;=70,"YES","no"))</f>
        <v/>
      </c>
    </row>
    <row r="161">
      <c r="A161" s="19" t="n"/>
      <c r="B161" s="19" t="n"/>
      <c r="C161" s="19" t="n"/>
      <c r="D161" s="19" t="n"/>
      <c r="E161" s="19" t="n"/>
      <c r="F161" s="20" t="n"/>
      <c r="G161" s="19" t="n"/>
      <c r="H161" s="19" t="n"/>
      <c r="I161" s="19" t="n"/>
      <c r="J161" s="21" t="n"/>
      <c r="K161" s="18">
        <f>IF(D161="","",IF(D161&gt;=70,"YES","no"))</f>
        <v/>
      </c>
    </row>
    <row r="162">
      <c r="A162" s="19" t="n"/>
      <c r="B162" s="19" t="n"/>
      <c r="C162" s="19" t="n"/>
      <c r="D162" s="19" t="n"/>
      <c r="E162" s="19" t="n"/>
      <c r="F162" s="20" t="n"/>
      <c r="G162" s="19" t="n"/>
      <c r="H162" s="19" t="n"/>
      <c r="I162" s="19" t="n"/>
      <c r="J162" s="21" t="n"/>
      <c r="K162" s="18">
        <f>IF(D162="","",IF(D162&gt;=70,"YES","no"))</f>
        <v/>
      </c>
    </row>
    <row r="163">
      <c r="A163" s="19" t="n"/>
      <c r="B163" s="19" t="n"/>
      <c r="C163" s="19" t="n"/>
      <c r="D163" s="19" t="n"/>
      <c r="E163" s="19" t="n"/>
      <c r="F163" s="20" t="n"/>
      <c r="G163" s="19" t="n"/>
      <c r="H163" s="19" t="n"/>
      <c r="I163" s="19" t="n"/>
      <c r="J163" s="21" t="n"/>
      <c r="K163" s="18">
        <f>IF(D163="","",IF(D163&gt;=70,"YES","no"))</f>
        <v/>
      </c>
    </row>
    <row r="164">
      <c r="A164" s="19" t="n"/>
      <c r="B164" s="19" t="n"/>
      <c r="C164" s="19" t="n"/>
      <c r="D164" s="19" t="n"/>
      <c r="E164" s="19" t="n"/>
      <c r="F164" s="20" t="n"/>
      <c r="G164" s="19" t="n"/>
      <c r="H164" s="19" t="n"/>
      <c r="I164" s="19" t="n"/>
      <c r="J164" s="21" t="n"/>
      <c r="K164" s="18">
        <f>IF(D164="","",IF(D164&gt;=70,"YES","no"))</f>
        <v/>
      </c>
    </row>
    <row r="165">
      <c r="A165" s="19" t="n"/>
      <c r="B165" s="19" t="n"/>
      <c r="C165" s="19" t="n"/>
      <c r="D165" s="19" t="n"/>
      <c r="E165" s="19" t="n"/>
      <c r="F165" s="20" t="n"/>
      <c r="G165" s="19" t="n"/>
      <c r="H165" s="19" t="n"/>
      <c r="I165" s="19" t="n"/>
      <c r="J165" s="21" t="n"/>
      <c r="K165" s="18">
        <f>IF(D165="","",IF(D165&gt;=70,"YES","no"))</f>
        <v/>
      </c>
    </row>
    <row r="166">
      <c r="A166" s="19" t="n"/>
      <c r="B166" s="19" t="n"/>
      <c r="C166" s="19" t="n"/>
      <c r="D166" s="19" t="n"/>
      <c r="E166" s="19" t="n"/>
      <c r="F166" s="20" t="n"/>
      <c r="G166" s="19" t="n"/>
      <c r="H166" s="19" t="n"/>
      <c r="I166" s="19" t="n"/>
      <c r="J166" s="21" t="n"/>
      <c r="K166" s="18">
        <f>IF(D166="","",IF(D166&gt;=70,"YES","no"))</f>
        <v/>
      </c>
    </row>
    <row r="167">
      <c r="A167" s="19" t="n"/>
      <c r="B167" s="19" t="n"/>
      <c r="C167" s="19" t="n"/>
      <c r="D167" s="19" t="n"/>
      <c r="E167" s="19" t="n"/>
      <c r="F167" s="20" t="n"/>
      <c r="G167" s="19" t="n"/>
      <c r="H167" s="19" t="n"/>
      <c r="I167" s="19" t="n"/>
      <c r="J167" s="21" t="n"/>
      <c r="K167" s="18">
        <f>IF(D167="","",IF(D167&gt;=70,"YES","no"))</f>
        <v/>
      </c>
    </row>
    <row r="168">
      <c r="A168" s="19" t="n"/>
      <c r="B168" s="19" t="n"/>
      <c r="C168" s="19" t="n"/>
      <c r="D168" s="19" t="n"/>
      <c r="E168" s="19" t="n"/>
      <c r="F168" s="20" t="n"/>
      <c r="G168" s="19" t="n"/>
      <c r="H168" s="19" t="n"/>
      <c r="I168" s="19" t="n"/>
      <c r="J168" s="21" t="n"/>
      <c r="K168" s="18">
        <f>IF(D168="","",IF(D168&gt;=70,"YES","no"))</f>
        <v/>
      </c>
    </row>
    <row r="169">
      <c r="A169" s="19" t="n"/>
      <c r="B169" s="19" t="n"/>
      <c r="C169" s="19" t="n"/>
      <c r="D169" s="19" t="n"/>
      <c r="E169" s="19" t="n"/>
      <c r="F169" s="20" t="n"/>
      <c r="G169" s="19" t="n"/>
      <c r="H169" s="19" t="n"/>
      <c r="I169" s="19" t="n"/>
      <c r="J169" s="21" t="n"/>
      <c r="K169" s="18">
        <f>IF(D169="","",IF(D169&gt;=70,"YES","no"))</f>
        <v/>
      </c>
    </row>
    <row r="170">
      <c r="A170" s="19" t="n"/>
      <c r="B170" s="19" t="n"/>
      <c r="C170" s="19" t="n"/>
      <c r="D170" s="19" t="n"/>
      <c r="E170" s="19" t="n"/>
      <c r="F170" s="20" t="n"/>
      <c r="G170" s="19" t="n"/>
      <c r="H170" s="19" t="n"/>
      <c r="I170" s="19" t="n"/>
      <c r="J170" s="21" t="n"/>
      <c r="K170" s="18">
        <f>IF(D170="","",IF(D170&gt;=70,"YES","no"))</f>
        <v/>
      </c>
    </row>
    <row r="171">
      <c r="A171" s="19" t="n"/>
      <c r="B171" s="19" t="n"/>
      <c r="C171" s="19" t="n"/>
      <c r="D171" s="19" t="n"/>
      <c r="E171" s="19" t="n"/>
      <c r="F171" s="20" t="n"/>
      <c r="G171" s="19" t="n"/>
      <c r="H171" s="19" t="n"/>
      <c r="I171" s="19" t="n"/>
      <c r="J171" s="21" t="n"/>
      <c r="K171" s="18">
        <f>IF(D171="","",IF(D171&gt;=70,"YES","no"))</f>
        <v/>
      </c>
    </row>
    <row r="172">
      <c r="A172" s="19" t="n"/>
      <c r="B172" s="19" t="n"/>
      <c r="C172" s="19" t="n"/>
      <c r="D172" s="19" t="n"/>
      <c r="E172" s="19" t="n"/>
      <c r="F172" s="20" t="n"/>
      <c r="G172" s="19" t="n"/>
      <c r="H172" s="19" t="n"/>
      <c r="I172" s="19" t="n"/>
      <c r="J172" s="21" t="n"/>
      <c r="K172" s="18">
        <f>IF(D172="","",IF(D172&gt;=70,"YES","no"))</f>
        <v/>
      </c>
    </row>
    <row r="173">
      <c r="A173" s="19" t="n"/>
      <c r="B173" s="19" t="n"/>
      <c r="C173" s="19" t="n"/>
      <c r="D173" s="19" t="n"/>
      <c r="E173" s="19" t="n"/>
      <c r="F173" s="20" t="n"/>
      <c r="G173" s="19" t="n"/>
      <c r="H173" s="19" t="n"/>
      <c r="I173" s="19" t="n"/>
      <c r="J173" s="21" t="n"/>
      <c r="K173" s="18">
        <f>IF(D173="","",IF(D173&gt;=70,"YES","no"))</f>
        <v/>
      </c>
    </row>
    <row r="174">
      <c r="A174" s="19" t="n"/>
      <c r="B174" s="19" t="n"/>
      <c r="C174" s="19" t="n"/>
      <c r="D174" s="19" t="n"/>
      <c r="E174" s="19" t="n"/>
      <c r="F174" s="20" t="n"/>
      <c r="G174" s="19" t="n"/>
      <c r="H174" s="19" t="n"/>
      <c r="I174" s="19" t="n"/>
      <c r="J174" s="21" t="n"/>
      <c r="K174" s="18">
        <f>IF(D174="","",IF(D174&gt;=70,"YES","no"))</f>
        <v/>
      </c>
    </row>
    <row r="175">
      <c r="A175" s="19" t="n"/>
      <c r="B175" s="19" t="n"/>
      <c r="C175" s="19" t="n"/>
      <c r="D175" s="19" t="n"/>
      <c r="E175" s="19" t="n"/>
      <c r="F175" s="20" t="n"/>
      <c r="G175" s="19" t="n"/>
      <c r="H175" s="19" t="n"/>
      <c r="I175" s="19" t="n"/>
      <c r="J175" s="21" t="n"/>
      <c r="K175" s="18">
        <f>IF(D175="","",IF(D175&gt;=70,"YES","no"))</f>
        <v/>
      </c>
    </row>
    <row r="176">
      <c r="A176" s="19" t="n"/>
      <c r="B176" s="19" t="n"/>
      <c r="C176" s="19" t="n"/>
      <c r="D176" s="19" t="n"/>
      <c r="E176" s="19" t="n"/>
      <c r="F176" s="20" t="n"/>
      <c r="G176" s="19" t="n"/>
      <c r="H176" s="19" t="n"/>
      <c r="I176" s="19" t="n"/>
      <c r="J176" s="21" t="n"/>
      <c r="K176" s="18">
        <f>IF(D176="","",IF(D176&gt;=70,"YES","no"))</f>
        <v/>
      </c>
    </row>
    <row r="177">
      <c r="A177" s="19" t="n"/>
      <c r="B177" s="19" t="n"/>
      <c r="C177" s="19" t="n"/>
      <c r="D177" s="19" t="n"/>
      <c r="E177" s="19" t="n"/>
      <c r="F177" s="20" t="n"/>
      <c r="G177" s="19" t="n"/>
      <c r="H177" s="19" t="n"/>
      <c r="I177" s="19" t="n"/>
      <c r="J177" s="21" t="n"/>
      <c r="K177" s="18">
        <f>IF(D177="","",IF(D177&gt;=70,"YES","no"))</f>
        <v/>
      </c>
    </row>
    <row r="178">
      <c r="A178" s="19" t="n"/>
      <c r="B178" s="19" t="n"/>
      <c r="C178" s="19" t="n"/>
      <c r="D178" s="19" t="n"/>
      <c r="E178" s="19" t="n"/>
      <c r="F178" s="20" t="n"/>
      <c r="G178" s="19" t="n"/>
      <c r="H178" s="19" t="n"/>
      <c r="I178" s="19" t="n"/>
      <c r="J178" s="21" t="n"/>
      <c r="K178" s="18">
        <f>IF(D178="","",IF(D178&gt;=70,"YES","no"))</f>
        <v/>
      </c>
    </row>
    <row r="179">
      <c r="A179" s="19" t="n"/>
      <c r="B179" s="19" t="n"/>
      <c r="C179" s="19" t="n"/>
      <c r="D179" s="19" t="n"/>
      <c r="E179" s="19" t="n"/>
      <c r="F179" s="20" t="n"/>
      <c r="G179" s="19" t="n"/>
      <c r="H179" s="19" t="n"/>
      <c r="I179" s="19" t="n"/>
      <c r="J179" s="21" t="n"/>
      <c r="K179" s="18">
        <f>IF(D179="","",IF(D179&gt;=70,"YES","no"))</f>
        <v/>
      </c>
    </row>
    <row r="180">
      <c r="A180" s="19" t="n"/>
      <c r="B180" s="19" t="n"/>
      <c r="C180" s="19" t="n"/>
      <c r="D180" s="19" t="n"/>
      <c r="E180" s="19" t="n"/>
      <c r="F180" s="20" t="n"/>
      <c r="G180" s="19" t="n"/>
      <c r="H180" s="19" t="n"/>
      <c r="I180" s="19" t="n"/>
      <c r="J180" s="21" t="n"/>
      <c r="K180" s="18">
        <f>IF(D180="","",IF(D180&gt;=70,"YES","no"))</f>
        <v/>
      </c>
    </row>
    <row r="181">
      <c r="A181" s="19" t="n"/>
      <c r="B181" s="19" t="n"/>
      <c r="C181" s="19" t="n"/>
      <c r="D181" s="19" t="n"/>
      <c r="E181" s="19" t="n"/>
      <c r="F181" s="20" t="n"/>
      <c r="G181" s="19" t="n"/>
      <c r="H181" s="19" t="n"/>
      <c r="I181" s="19" t="n"/>
      <c r="J181" s="21" t="n"/>
      <c r="K181" s="18">
        <f>IF(D181="","",IF(D181&gt;=70,"YES","no"))</f>
        <v/>
      </c>
    </row>
    <row r="182">
      <c r="A182" s="19" t="n"/>
      <c r="B182" s="19" t="n"/>
      <c r="C182" s="19" t="n"/>
      <c r="D182" s="19" t="n"/>
      <c r="E182" s="19" t="n"/>
      <c r="F182" s="20" t="n"/>
      <c r="G182" s="19" t="n"/>
      <c r="H182" s="19" t="n"/>
      <c r="I182" s="19" t="n"/>
      <c r="J182" s="21" t="n"/>
      <c r="K182" s="18">
        <f>IF(D182="","",IF(D182&gt;=70,"YES","no"))</f>
        <v/>
      </c>
    </row>
    <row r="183">
      <c r="A183" s="19" t="n"/>
      <c r="B183" s="19" t="n"/>
      <c r="C183" s="19" t="n"/>
      <c r="D183" s="19" t="n"/>
      <c r="E183" s="19" t="n"/>
      <c r="F183" s="20" t="n"/>
      <c r="G183" s="19" t="n"/>
      <c r="H183" s="19" t="n"/>
      <c r="I183" s="19" t="n"/>
      <c r="J183" s="21" t="n"/>
      <c r="K183" s="18">
        <f>IF(D183="","",IF(D183&gt;=70,"YES","no"))</f>
        <v/>
      </c>
    </row>
    <row r="184">
      <c r="A184" s="19" t="n"/>
      <c r="B184" s="19" t="n"/>
      <c r="C184" s="19" t="n"/>
      <c r="D184" s="19" t="n"/>
      <c r="E184" s="19" t="n"/>
      <c r="F184" s="20" t="n"/>
      <c r="G184" s="19" t="n"/>
      <c r="H184" s="19" t="n"/>
      <c r="I184" s="19" t="n"/>
      <c r="J184" s="21" t="n"/>
      <c r="K184" s="18">
        <f>IF(D184="","",IF(D184&gt;=70,"YES","no"))</f>
        <v/>
      </c>
    </row>
    <row r="185">
      <c r="A185" s="19" t="n"/>
      <c r="B185" s="19" t="n"/>
      <c r="C185" s="19" t="n"/>
      <c r="D185" s="19" t="n"/>
      <c r="E185" s="19" t="n"/>
      <c r="F185" s="20" t="n"/>
      <c r="G185" s="19" t="n"/>
      <c r="H185" s="19" t="n"/>
      <c r="I185" s="19" t="n"/>
      <c r="J185" s="21" t="n"/>
      <c r="K185" s="18">
        <f>IF(D185="","",IF(D185&gt;=70,"YES","no"))</f>
        <v/>
      </c>
    </row>
    <row r="186">
      <c r="A186" s="19" t="n"/>
      <c r="B186" s="19" t="n"/>
      <c r="C186" s="19" t="n"/>
      <c r="D186" s="19" t="n"/>
      <c r="E186" s="19" t="n"/>
      <c r="F186" s="20" t="n"/>
      <c r="G186" s="19" t="n"/>
      <c r="H186" s="19" t="n"/>
      <c r="I186" s="19" t="n"/>
      <c r="J186" s="21" t="n"/>
      <c r="K186" s="18">
        <f>IF(D186="","",IF(D186&gt;=70,"YES","no"))</f>
        <v/>
      </c>
    </row>
    <row r="187">
      <c r="A187" s="19" t="n"/>
      <c r="B187" s="19" t="n"/>
      <c r="C187" s="19" t="n"/>
      <c r="D187" s="19" t="n"/>
      <c r="E187" s="19" t="n"/>
      <c r="F187" s="20" t="n"/>
      <c r="G187" s="19" t="n"/>
      <c r="H187" s="19" t="n"/>
      <c r="I187" s="19" t="n"/>
      <c r="J187" s="21" t="n"/>
      <c r="K187" s="18">
        <f>IF(D187="","",IF(D187&gt;=70,"YES","no"))</f>
        <v/>
      </c>
    </row>
    <row r="188">
      <c r="A188" s="19" t="n"/>
      <c r="B188" s="19" t="n"/>
      <c r="C188" s="19" t="n"/>
      <c r="D188" s="19" t="n"/>
      <c r="E188" s="19" t="n"/>
      <c r="F188" s="20" t="n"/>
      <c r="G188" s="19" t="n"/>
      <c r="H188" s="19" t="n"/>
      <c r="I188" s="19" t="n"/>
      <c r="J188" s="21" t="n"/>
      <c r="K188" s="18">
        <f>IF(D188="","",IF(D188&gt;=70,"YES","no"))</f>
        <v/>
      </c>
    </row>
    <row r="189">
      <c r="A189" s="19" t="n"/>
      <c r="B189" s="19" t="n"/>
      <c r="C189" s="19" t="n"/>
      <c r="D189" s="19" t="n"/>
      <c r="E189" s="19" t="n"/>
      <c r="F189" s="20" t="n"/>
      <c r="G189" s="19" t="n"/>
      <c r="H189" s="19" t="n"/>
      <c r="I189" s="19" t="n"/>
      <c r="J189" s="21" t="n"/>
      <c r="K189" s="18">
        <f>IF(D189="","",IF(D189&gt;=70,"YES","no"))</f>
        <v/>
      </c>
    </row>
    <row r="190">
      <c r="A190" s="19" t="n"/>
      <c r="B190" s="19" t="n"/>
      <c r="C190" s="19" t="n"/>
      <c r="D190" s="19" t="n"/>
      <c r="E190" s="19" t="n"/>
      <c r="F190" s="20" t="n"/>
      <c r="G190" s="19" t="n"/>
      <c r="H190" s="19" t="n"/>
      <c r="I190" s="19" t="n"/>
      <c r="J190" s="21" t="n"/>
      <c r="K190" s="18">
        <f>IF(D190="","",IF(D190&gt;=70,"YES","no"))</f>
        <v/>
      </c>
    </row>
    <row r="191">
      <c r="A191" s="19" t="n"/>
      <c r="B191" s="19" t="n"/>
      <c r="C191" s="19" t="n"/>
      <c r="D191" s="19" t="n"/>
      <c r="E191" s="19" t="n"/>
      <c r="F191" s="20" t="n"/>
      <c r="G191" s="19" t="n"/>
      <c r="H191" s="19" t="n"/>
      <c r="I191" s="19" t="n"/>
      <c r="J191" s="21" t="n"/>
      <c r="K191" s="18">
        <f>IF(D191="","",IF(D191&gt;=70,"YES","no"))</f>
        <v/>
      </c>
    </row>
    <row r="192">
      <c r="A192" s="19" t="n"/>
      <c r="B192" s="19" t="n"/>
      <c r="C192" s="19" t="n"/>
      <c r="D192" s="19" t="n"/>
      <c r="E192" s="19" t="n"/>
      <c r="F192" s="20" t="n"/>
      <c r="G192" s="19" t="n"/>
      <c r="H192" s="19" t="n"/>
      <c r="I192" s="19" t="n"/>
      <c r="J192" s="21" t="n"/>
      <c r="K192" s="18">
        <f>IF(D192="","",IF(D192&gt;=70,"YES","no"))</f>
        <v/>
      </c>
    </row>
    <row r="193">
      <c r="A193" s="19" t="n"/>
      <c r="B193" s="19" t="n"/>
      <c r="C193" s="19" t="n"/>
      <c r="D193" s="19" t="n"/>
      <c r="E193" s="19" t="n"/>
      <c r="F193" s="20" t="n"/>
      <c r="G193" s="19" t="n"/>
      <c r="H193" s="19" t="n"/>
      <c r="I193" s="19" t="n"/>
      <c r="J193" s="21" t="n"/>
      <c r="K193" s="18">
        <f>IF(D193="","",IF(D193&gt;=70,"YES","no"))</f>
        <v/>
      </c>
    </row>
    <row r="194">
      <c r="A194" s="19" t="n"/>
      <c r="B194" s="19" t="n"/>
      <c r="C194" s="19" t="n"/>
      <c r="D194" s="19" t="n"/>
      <c r="E194" s="19" t="n"/>
      <c r="F194" s="20" t="n"/>
      <c r="G194" s="19" t="n"/>
      <c r="H194" s="19" t="n"/>
      <c r="I194" s="19" t="n"/>
      <c r="J194" s="21" t="n"/>
      <c r="K194" s="18">
        <f>IF(D194="","",IF(D194&gt;=70,"YES","no"))</f>
        <v/>
      </c>
    </row>
    <row r="195">
      <c r="A195" s="19" t="n"/>
      <c r="B195" s="19" t="n"/>
      <c r="C195" s="19" t="n"/>
      <c r="D195" s="19" t="n"/>
      <c r="E195" s="19" t="n"/>
      <c r="F195" s="20" t="n"/>
      <c r="G195" s="19" t="n"/>
      <c r="H195" s="19" t="n"/>
      <c r="I195" s="19" t="n"/>
      <c r="J195" s="21" t="n"/>
      <c r="K195" s="18">
        <f>IF(D195="","",IF(D195&gt;=70,"YES","no"))</f>
        <v/>
      </c>
    </row>
    <row r="196">
      <c r="A196" s="19" t="n"/>
      <c r="B196" s="19" t="n"/>
      <c r="C196" s="19" t="n"/>
      <c r="D196" s="19" t="n"/>
      <c r="E196" s="19" t="n"/>
      <c r="F196" s="20" t="n"/>
      <c r="G196" s="19" t="n"/>
      <c r="H196" s="19" t="n"/>
      <c r="I196" s="19" t="n"/>
      <c r="J196" s="21" t="n"/>
      <c r="K196" s="18">
        <f>IF(D196="","",IF(D196&gt;=70,"YES","no"))</f>
        <v/>
      </c>
    </row>
    <row r="197">
      <c r="A197" s="19" t="n"/>
      <c r="B197" s="19" t="n"/>
      <c r="C197" s="19" t="n"/>
      <c r="D197" s="19" t="n"/>
      <c r="E197" s="19" t="n"/>
      <c r="F197" s="20" t="n"/>
      <c r="G197" s="19" t="n"/>
      <c r="H197" s="19" t="n"/>
      <c r="I197" s="19" t="n"/>
      <c r="J197" s="21" t="n"/>
      <c r="K197" s="18">
        <f>IF(D197="","",IF(D197&gt;=70,"YES","no"))</f>
        <v/>
      </c>
    </row>
    <row r="198">
      <c r="A198" s="19" t="n"/>
      <c r="B198" s="19" t="n"/>
      <c r="C198" s="19" t="n"/>
      <c r="D198" s="19" t="n"/>
      <c r="E198" s="19" t="n"/>
      <c r="F198" s="20" t="n"/>
      <c r="G198" s="19" t="n"/>
      <c r="H198" s="19" t="n"/>
      <c r="I198" s="19" t="n"/>
      <c r="J198" s="21" t="n"/>
      <c r="K198" s="18">
        <f>IF(D198="","",IF(D198&gt;=70,"YES","no"))</f>
        <v/>
      </c>
    </row>
    <row r="199">
      <c r="A199" s="19" t="n"/>
      <c r="B199" s="19" t="n"/>
      <c r="C199" s="19" t="n"/>
      <c r="D199" s="19" t="n"/>
      <c r="E199" s="19" t="n"/>
      <c r="F199" s="20" t="n"/>
      <c r="G199" s="19" t="n"/>
      <c r="H199" s="19" t="n"/>
      <c r="I199" s="19" t="n"/>
      <c r="J199" s="21" t="n"/>
      <c r="K199" s="18">
        <f>IF(D199="","",IF(D199&gt;=70,"YES","no"))</f>
        <v/>
      </c>
    </row>
    <row r="200">
      <c r="A200" s="19" t="n"/>
      <c r="B200" s="19" t="n"/>
      <c r="C200" s="19" t="n"/>
      <c r="D200" s="19" t="n"/>
      <c r="E200" s="19" t="n"/>
      <c r="F200" s="20" t="n"/>
      <c r="G200" s="19" t="n"/>
      <c r="H200" s="19" t="n"/>
      <c r="I200" s="19" t="n"/>
      <c r="J200" s="21" t="n"/>
      <c r="K200" s="18">
        <f>IF(D200="","",IF(D200&gt;=70,"YES","no"))</f>
        <v/>
      </c>
    </row>
    <row r="201">
      <c r="A201" s="19" t="n"/>
      <c r="B201" s="19" t="n"/>
      <c r="C201" s="19" t="n"/>
      <c r="D201" s="19" t="n"/>
      <c r="E201" s="19" t="n"/>
      <c r="F201" s="20" t="n"/>
      <c r="G201" s="19" t="n"/>
      <c r="H201" s="19" t="n"/>
      <c r="I201" s="19" t="n"/>
      <c r="J201" s="21" t="n"/>
      <c r="K201" s="18">
        <f>IF(D201="","",IF(D201&gt;=70,"YES","no"))</f>
        <v/>
      </c>
    </row>
    <row r="202">
      <c r="A202" s="19" t="n"/>
      <c r="B202" s="19" t="n"/>
      <c r="C202" s="19" t="n"/>
      <c r="D202" s="19" t="n"/>
      <c r="E202" s="19" t="n"/>
      <c r="F202" s="20" t="n"/>
      <c r="G202" s="19" t="n"/>
      <c r="H202" s="19" t="n"/>
      <c r="I202" s="19" t="n"/>
      <c r="J202" s="21" t="n"/>
      <c r="K202" s="18">
        <f>IF(D202="","",IF(D202&gt;=70,"YES","no"))</f>
        <v/>
      </c>
    </row>
    <row r="203">
      <c r="A203" s="19" t="n"/>
      <c r="B203" s="19" t="n"/>
      <c r="C203" s="19" t="n"/>
      <c r="D203" s="19" t="n"/>
      <c r="E203" s="19" t="n"/>
      <c r="F203" s="20" t="n"/>
      <c r="G203" s="19" t="n"/>
      <c r="H203" s="19" t="n"/>
      <c r="I203" s="19" t="n"/>
      <c r="J203" s="21" t="n"/>
      <c r="K203" s="18">
        <f>IF(D203="","",IF(D203&gt;=70,"YES","no"))</f>
        <v/>
      </c>
    </row>
    <row r="204">
      <c r="A204" s="19" t="n"/>
      <c r="B204" s="19" t="n"/>
      <c r="C204" s="19" t="n"/>
      <c r="D204" s="19" t="n"/>
      <c r="E204" s="19" t="n"/>
      <c r="F204" s="20" t="n"/>
      <c r="G204" s="19" t="n"/>
      <c r="H204" s="19" t="n"/>
      <c r="I204" s="19" t="n"/>
      <c r="J204" s="21" t="n"/>
      <c r="K204" s="18">
        <f>IF(D204="","",IF(D204&gt;=70,"YES","no"))</f>
        <v/>
      </c>
    </row>
    <row r="205">
      <c r="A205" s="19" t="n"/>
      <c r="B205" s="19" t="n"/>
      <c r="C205" s="19" t="n"/>
      <c r="D205" s="19" t="n"/>
      <c r="E205" s="19" t="n"/>
      <c r="F205" s="20" t="n"/>
      <c r="G205" s="19" t="n"/>
      <c r="H205" s="19" t="n"/>
      <c r="I205" s="19" t="n"/>
      <c r="J205" s="21" t="n"/>
      <c r="K205" s="18">
        <f>IF(D205="","",IF(D205&gt;=70,"YES","no"))</f>
        <v/>
      </c>
    </row>
    <row r="206">
      <c r="A206" s="19" t="n"/>
      <c r="B206" s="19" t="n"/>
      <c r="C206" s="19" t="n"/>
      <c r="D206" s="19" t="n"/>
      <c r="E206" s="19" t="n"/>
      <c r="F206" s="20" t="n"/>
      <c r="G206" s="19" t="n"/>
      <c r="H206" s="19" t="n"/>
      <c r="I206" s="19" t="n"/>
      <c r="J206" s="21" t="n"/>
      <c r="K206" s="18">
        <f>IF(D206="","",IF(D206&gt;=70,"YES","no"))</f>
        <v/>
      </c>
    </row>
    <row r="207">
      <c r="A207" s="19" t="n"/>
      <c r="B207" s="19" t="n"/>
      <c r="C207" s="19" t="n"/>
      <c r="D207" s="19" t="n"/>
      <c r="E207" s="19" t="n"/>
      <c r="F207" s="20" t="n"/>
      <c r="G207" s="19" t="n"/>
      <c r="H207" s="19" t="n"/>
      <c r="I207" s="19" t="n"/>
      <c r="J207" s="21" t="n"/>
      <c r="K207" s="18">
        <f>IF(D207="","",IF(D207&gt;=70,"YES","no"))</f>
        <v/>
      </c>
    </row>
    <row r="208">
      <c r="A208" s="19" t="n"/>
      <c r="B208" s="19" t="n"/>
      <c r="C208" s="19" t="n"/>
      <c r="D208" s="19" t="n"/>
      <c r="E208" s="19" t="n"/>
      <c r="F208" s="20" t="n"/>
      <c r="G208" s="19" t="n"/>
      <c r="H208" s="19" t="n"/>
      <c r="I208" s="19" t="n"/>
      <c r="J208" s="21" t="n"/>
      <c r="K208" s="18">
        <f>IF(D208="","",IF(D208&gt;=70,"YES","no"))</f>
        <v/>
      </c>
    </row>
    <row r="209">
      <c r="A209" s="19" t="n"/>
      <c r="B209" s="19" t="n"/>
      <c r="C209" s="19" t="n"/>
      <c r="D209" s="19" t="n"/>
      <c r="E209" s="19" t="n"/>
      <c r="F209" s="20" t="n"/>
      <c r="G209" s="19" t="n"/>
      <c r="H209" s="19" t="n"/>
      <c r="I209" s="19" t="n"/>
      <c r="J209" s="21" t="n"/>
      <c r="K209" s="18">
        <f>IF(D209="","",IF(D209&gt;=70,"YES","no"))</f>
        <v/>
      </c>
    </row>
    <row r="210">
      <c r="A210" s="19" t="n"/>
      <c r="B210" s="19" t="n"/>
      <c r="C210" s="19" t="n"/>
      <c r="D210" s="19" t="n"/>
      <c r="E210" s="19" t="n"/>
      <c r="F210" s="20" t="n"/>
      <c r="G210" s="19" t="n"/>
      <c r="H210" s="19" t="n"/>
      <c r="I210" s="19" t="n"/>
      <c r="J210" s="21" t="n"/>
      <c r="K210" s="18">
        <f>IF(D210="","",IF(D210&gt;=70,"YES","no"))</f>
        <v/>
      </c>
    </row>
    <row r="211">
      <c r="A211" s="19" t="n"/>
      <c r="B211" s="19" t="n"/>
      <c r="C211" s="19" t="n"/>
      <c r="D211" s="19" t="n"/>
      <c r="E211" s="19" t="n"/>
      <c r="F211" s="20" t="n"/>
      <c r="G211" s="19" t="n"/>
      <c r="H211" s="19" t="n"/>
      <c r="I211" s="19" t="n"/>
      <c r="J211" s="21" t="n"/>
      <c r="K211" s="18">
        <f>IF(D211="","",IF(D211&gt;=70,"YES","no"))</f>
        <v/>
      </c>
    </row>
    <row r="212">
      <c r="A212" s="19" t="n"/>
      <c r="B212" s="19" t="n"/>
      <c r="C212" s="19" t="n"/>
      <c r="D212" s="19" t="n"/>
      <c r="E212" s="19" t="n"/>
      <c r="F212" s="20" t="n"/>
      <c r="G212" s="19" t="n"/>
      <c r="H212" s="19" t="n"/>
      <c r="I212" s="19" t="n"/>
      <c r="J212" s="21" t="n"/>
      <c r="K212" s="18">
        <f>IF(D212="","",IF(D212&gt;=70,"YES","no"))</f>
        <v/>
      </c>
    </row>
    <row r="213">
      <c r="A213" s="19" t="n"/>
      <c r="B213" s="19" t="n"/>
      <c r="C213" s="19" t="n"/>
      <c r="D213" s="19" t="n"/>
      <c r="E213" s="19" t="n"/>
      <c r="F213" s="20" t="n"/>
      <c r="G213" s="19" t="n"/>
      <c r="H213" s="19" t="n"/>
      <c r="I213" s="19" t="n"/>
      <c r="J213" s="21" t="n"/>
      <c r="K213" s="18">
        <f>IF(D213="","",IF(D213&gt;=70,"YES","no"))</f>
        <v/>
      </c>
    </row>
    <row r="214">
      <c r="A214" s="19" t="n"/>
      <c r="B214" s="19" t="n"/>
      <c r="C214" s="19" t="n"/>
      <c r="D214" s="19" t="n"/>
      <c r="E214" s="19" t="n"/>
      <c r="F214" s="20" t="n"/>
      <c r="G214" s="19" t="n"/>
      <c r="H214" s="19" t="n"/>
      <c r="I214" s="19" t="n"/>
      <c r="J214" s="21" t="n"/>
      <c r="K214" s="18">
        <f>IF(D214="","",IF(D214&gt;=70,"YES","no"))</f>
        <v/>
      </c>
    </row>
    <row r="215">
      <c r="A215" s="19" t="n"/>
      <c r="B215" s="19" t="n"/>
      <c r="C215" s="19" t="n"/>
      <c r="D215" s="19" t="n"/>
      <c r="E215" s="19" t="n"/>
      <c r="F215" s="20" t="n"/>
      <c r="G215" s="19" t="n"/>
      <c r="H215" s="19" t="n"/>
      <c r="I215" s="19" t="n"/>
      <c r="J215" s="21" t="n"/>
      <c r="K215" s="18">
        <f>IF(D215="","",IF(D215&gt;=70,"YES","no"))</f>
        <v/>
      </c>
    </row>
    <row r="216">
      <c r="A216" s="19" t="n"/>
      <c r="B216" s="19" t="n"/>
      <c r="C216" s="19" t="n"/>
      <c r="D216" s="19" t="n"/>
      <c r="E216" s="19" t="n"/>
      <c r="F216" s="20" t="n"/>
      <c r="G216" s="19" t="n"/>
      <c r="H216" s="19" t="n"/>
      <c r="I216" s="19" t="n"/>
      <c r="J216" s="21" t="n"/>
      <c r="K216" s="18">
        <f>IF(D216="","",IF(D216&gt;=70,"YES","no"))</f>
        <v/>
      </c>
    </row>
    <row r="217">
      <c r="A217" s="19" t="n"/>
      <c r="B217" s="19" t="n"/>
      <c r="C217" s="19" t="n"/>
      <c r="D217" s="19" t="n"/>
      <c r="E217" s="19" t="n"/>
      <c r="F217" s="20" t="n"/>
      <c r="G217" s="19" t="n"/>
      <c r="H217" s="19" t="n"/>
      <c r="I217" s="19" t="n"/>
      <c r="J217" s="21" t="n"/>
      <c r="K217" s="18">
        <f>IF(D217="","",IF(D217&gt;=70,"YES","no"))</f>
        <v/>
      </c>
    </row>
    <row r="218">
      <c r="A218" s="19" t="n"/>
      <c r="B218" s="19" t="n"/>
      <c r="C218" s="19" t="n"/>
      <c r="D218" s="19" t="n"/>
      <c r="E218" s="19" t="n"/>
      <c r="F218" s="20" t="n"/>
      <c r="G218" s="19" t="n"/>
      <c r="H218" s="19" t="n"/>
      <c r="I218" s="19" t="n"/>
      <c r="J218" s="21" t="n"/>
      <c r="K218" s="18">
        <f>IF(D218="","",IF(D218&gt;=70,"YES","no"))</f>
        <v/>
      </c>
    </row>
    <row r="219">
      <c r="A219" s="19" t="n"/>
      <c r="B219" s="19" t="n"/>
      <c r="C219" s="19" t="n"/>
      <c r="D219" s="19" t="n"/>
      <c r="E219" s="19" t="n"/>
      <c r="F219" s="20" t="n"/>
      <c r="G219" s="19" t="n"/>
      <c r="H219" s="19" t="n"/>
      <c r="I219" s="19" t="n"/>
      <c r="J219" s="21" t="n"/>
      <c r="K219" s="18">
        <f>IF(D219="","",IF(D219&gt;=70,"YES","no"))</f>
        <v/>
      </c>
    </row>
    <row r="220">
      <c r="A220" s="19" t="n"/>
      <c r="B220" s="19" t="n"/>
      <c r="C220" s="19" t="n"/>
      <c r="D220" s="19" t="n"/>
      <c r="E220" s="19" t="n"/>
      <c r="F220" s="20" t="n"/>
      <c r="G220" s="19" t="n"/>
      <c r="H220" s="19" t="n"/>
      <c r="I220" s="19" t="n"/>
      <c r="J220" s="21" t="n"/>
      <c r="K220" s="18">
        <f>IF(D220="","",IF(D220&gt;=70,"YES","no"))</f>
        <v/>
      </c>
    </row>
    <row r="221">
      <c r="A221" s="19" t="n"/>
      <c r="B221" s="19" t="n"/>
      <c r="C221" s="19" t="n"/>
      <c r="D221" s="19" t="n"/>
      <c r="E221" s="19" t="n"/>
      <c r="F221" s="20" t="n"/>
      <c r="G221" s="19" t="n"/>
      <c r="H221" s="19" t="n"/>
      <c r="I221" s="19" t="n"/>
      <c r="J221" s="21" t="n"/>
      <c r="K221" s="18">
        <f>IF(D221="","",IF(D221&gt;=70,"YES","no"))</f>
        <v/>
      </c>
    </row>
    <row r="222">
      <c r="A222" s="19" t="n"/>
      <c r="B222" s="19" t="n"/>
      <c r="C222" s="19" t="n"/>
      <c r="D222" s="19" t="n"/>
      <c r="E222" s="19" t="n"/>
      <c r="F222" s="20" t="n"/>
      <c r="G222" s="19" t="n"/>
      <c r="H222" s="19" t="n"/>
      <c r="I222" s="19" t="n"/>
      <c r="J222" s="21" t="n"/>
      <c r="K222" s="18">
        <f>IF(D222="","",IF(D222&gt;=70,"YES","no"))</f>
        <v/>
      </c>
    </row>
    <row r="223">
      <c r="A223" s="19" t="n"/>
      <c r="B223" s="19" t="n"/>
      <c r="C223" s="19" t="n"/>
      <c r="D223" s="19" t="n"/>
      <c r="E223" s="19" t="n"/>
      <c r="F223" s="20" t="n"/>
      <c r="G223" s="19" t="n"/>
      <c r="H223" s="19" t="n"/>
      <c r="I223" s="19" t="n"/>
      <c r="J223" s="21" t="n"/>
      <c r="K223" s="18">
        <f>IF(D223="","",IF(D223&gt;=70,"YES","no"))</f>
        <v/>
      </c>
    </row>
    <row r="224">
      <c r="A224" s="19" t="n"/>
      <c r="B224" s="19" t="n"/>
      <c r="C224" s="19" t="n"/>
      <c r="D224" s="19" t="n"/>
      <c r="E224" s="19" t="n"/>
      <c r="F224" s="20" t="n"/>
      <c r="G224" s="19" t="n"/>
      <c r="H224" s="19" t="n"/>
      <c r="I224" s="19" t="n"/>
      <c r="J224" s="21" t="n"/>
      <c r="K224" s="18">
        <f>IF(D224="","",IF(D224&gt;=70,"YES","no"))</f>
        <v/>
      </c>
    </row>
    <row r="225">
      <c r="A225" s="19" t="n"/>
      <c r="B225" s="19" t="n"/>
      <c r="C225" s="19" t="n"/>
      <c r="D225" s="19" t="n"/>
      <c r="E225" s="19" t="n"/>
      <c r="F225" s="20" t="n"/>
      <c r="G225" s="19" t="n"/>
      <c r="H225" s="19" t="n"/>
      <c r="I225" s="19" t="n"/>
      <c r="J225" s="21" t="n"/>
      <c r="K225" s="18">
        <f>IF(D225="","",IF(D225&gt;=70,"YES","no"))</f>
        <v/>
      </c>
    </row>
    <row r="226">
      <c r="A226" s="19" t="n"/>
      <c r="B226" s="19" t="n"/>
      <c r="C226" s="19" t="n"/>
      <c r="D226" s="19" t="n"/>
      <c r="E226" s="19" t="n"/>
      <c r="F226" s="20" t="n"/>
      <c r="G226" s="19" t="n"/>
      <c r="H226" s="19" t="n"/>
      <c r="I226" s="19" t="n"/>
      <c r="J226" s="21" t="n"/>
      <c r="K226" s="18">
        <f>IF(D226="","",IF(D226&gt;=70,"YES","no"))</f>
        <v/>
      </c>
    </row>
    <row r="227">
      <c r="A227" s="19" t="n"/>
      <c r="B227" s="19" t="n"/>
      <c r="C227" s="19" t="n"/>
      <c r="D227" s="19" t="n"/>
      <c r="E227" s="19" t="n"/>
      <c r="F227" s="20" t="n"/>
      <c r="G227" s="19" t="n"/>
      <c r="H227" s="19" t="n"/>
      <c r="I227" s="19" t="n"/>
      <c r="J227" s="21" t="n"/>
      <c r="K227" s="18">
        <f>IF(D227="","",IF(D227&gt;=70,"YES","no"))</f>
        <v/>
      </c>
    </row>
    <row r="228">
      <c r="A228" s="19" t="n"/>
      <c r="B228" s="19" t="n"/>
      <c r="C228" s="19" t="n"/>
      <c r="D228" s="19" t="n"/>
      <c r="E228" s="19" t="n"/>
      <c r="F228" s="20" t="n"/>
      <c r="G228" s="19" t="n"/>
      <c r="H228" s="19" t="n"/>
      <c r="I228" s="19" t="n"/>
      <c r="J228" s="21" t="n"/>
      <c r="K228" s="18">
        <f>IF(D228="","",IF(D228&gt;=70,"YES","no"))</f>
        <v/>
      </c>
    </row>
    <row r="229">
      <c r="A229" s="19" t="n"/>
      <c r="B229" s="19" t="n"/>
      <c r="C229" s="19" t="n"/>
      <c r="D229" s="19" t="n"/>
      <c r="E229" s="19" t="n"/>
      <c r="F229" s="20" t="n"/>
      <c r="G229" s="19" t="n"/>
      <c r="H229" s="19" t="n"/>
      <c r="I229" s="19" t="n"/>
      <c r="J229" s="21" t="n"/>
      <c r="K229" s="18">
        <f>IF(D229="","",IF(D229&gt;=70,"YES","no"))</f>
        <v/>
      </c>
    </row>
    <row r="230">
      <c r="A230" s="19" t="n"/>
      <c r="B230" s="19" t="n"/>
      <c r="C230" s="19" t="n"/>
      <c r="D230" s="19" t="n"/>
      <c r="E230" s="19" t="n"/>
      <c r="F230" s="20" t="n"/>
      <c r="G230" s="19" t="n"/>
      <c r="H230" s="19" t="n"/>
      <c r="I230" s="19" t="n"/>
      <c r="J230" s="21" t="n"/>
      <c r="K230" s="18">
        <f>IF(D230="","",IF(D230&gt;=70,"YES","no"))</f>
        <v/>
      </c>
    </row>
    <row r="231">
      <c r="A231" s="19" t="n"/>
      <c r="B231" s="19" t="n"/>
      <c r="C231" s="19" t="n"/>
      <c r="D231" s="19" t="n"/>
      <c r="E231" s="19" t="n"/>
      <c r="F231" s="20" t="n"/>
      <c r="G231" s="19" t="n"/>
      <c r="H231" s="19" t="n"/>
      <c r="I231" s="19" t="n"/>
      <c r="J231" s="21" t="n"/>
      <c r="K231" s="18">
        <f>IF(D231="","",IF(D231&gt;=70,"YES","no"))</f>
        <v/>
      </c>
    </row>
    <row r="232">
      <c r="A232" s="19" t="n"/>
      <c r="B232" s="19" t="n"/>
      <c r="C232" s="19" t="n"/>
      <c r="D232" s="19" t="n"/>
      <c r="E232" s="19" t="n"/>
      <c r="F232" s="20" t="n"/>
      <c r="G232" s="19" t="n"/>
      <c r="H232" s="19" t="n"/>
      <c r="I232" s="19" t="n"/>
      <c r="J232" s="21" t="n"/>
      <c r="K232" s="18">
        <f>IF(D232="","",IF(D232&gt;=70,"YES","no"))</f>
        <v/>
      </c>
    </row>
    <row r="233">
      <c r="A233" s="19" t="n"/>
      <c r="B233" s="19" t="n"/>
      <c r="C233" s="19" t="n"/>
      <c r="D233" s="19" t="n"/>
      <c r="E233" s="19" t="n"/>
      <c r="F233" s="20" t="n"/>
      <c r="G233" s="19" t="n"/>
      <c r="H233" s="19" t="n"/>
      <c r="I233" s="19" t="n"/>
      <c r="J233" s="21" t="n"/>
      <c r="K233" s="18">
        <f>IF(D233="","",IF(D233&gt;=70,"YES","no"))</f>
        <v/>
      </c>
    </row>
    <row r="234">
      <c r="A234" s="19" t="n"/>
      <c r="B234" s="19" t="n"/>
      <c r="C234" s="19" t="n"/>
      <c r="D234" s="19" t="n"/>
      <c r="E234" s="19" t="n"/>
      <c r="F234" s="20" t="n"/>
      <c r="G234" s="19" t="n"/>
      <c r="H234" s="19" t="n"/>
      <c r="I234" s="19" t="n"/>
      <c r="J234" s="21" t="n"/>
      <c r="K234" s="18">
        <f>IF(D234="","",IF(D234&gt;=70,"YES","no"))</f>
        <v/>
      </c>
    </row>
    <row r="235">
      <c r="A235" s="19" t="n"/>
      <c r="B235" s="19" t="n"/>
      <c r="C235" s="19" t="n"/>
      <c r="D235" s="19" t="n"/>
      <c r="E235" s="19" t="n"/>
      <c r="F235" s="20" t="n"/>
      <c r="G235" s="19" t="n"/>
      <c r="H235" s="19" t="n"/>
      <c r="I235" s="19" t="n"/>
      <c r="J235" s="21" t="n"/>
      <c r="K235" s="18">
        <f>IF(D235="","",IF(D235&gt;=70,"YES","no"))</f>
        <v/>
      </c>
    </row>
    <row r="236">
      <c r="A236" s="19" t="n"/>
      <c r="B236" s="19" t="n"/>
      <c r="C236" s="19" t="n"/>
      <c r="D236" s="19" t="n"/>
      <c r="E236" s="19" t="n"/>
      <c r="F236" s="20" t="n"/>
      <c r="G236" s="19" t="n"/>
      <c r="H236" s="19" t="n"/>
      <c r="I236" s="19" t="n"/>
      <c r="J236" s="21" t="n"/>
      <c r="K236" s="18">
        <f>IF(D236="","",IF(D236&gt;=70,"YES","no"))</f>
        <v/>
      </c>
    </row>
    <row r="237">
      <c r="A237" s="19" t="n"/>
      <c r="B237" s="19" t="n"/>
      <c r="C237" s="19" t="n"/>
      <c r="D237" s="19" t="n"/>
      <c r="E237" s="19" t="n"/>
      <c r="F237" s="20" t="n"/>
      <c r="G237" s="19" t="n"/>
      <c r="H237" s="19" t="n"/>
      <c r="I237" s="19" t="n"/>
      <c r="J237" s="21" t="n"/>
      <c r="K237" s="18">
        <f>IF(D237="","",IF(D237&gt;=70,"YES","no"))</f>
        <v/>
      </c>
    </row>
    <row r="238">
      <c r="A238" s="19" t="n"/>
      <c r="B238" s="19" t="n"/>
      <c r="C238" s="19" t="n"/>
      <c r="D238" s="19" t="n"/>
      <c r="E238" s="19" t="n"/>
      <c r="F238" s="20" t="n"/>
      <c r="G238" s="19" t="n"/>
      <c r="H238" s="19" t="n"/>
      <c r="I238" s="19" t="n"/>
      <c r="J238" s="21" t="n"/>
      <c r="K238" s="18">
        <f>IF(D238="","",IF(D238&gt;=70,"YES","no"))</f>
        <v/>
      </c>
    </row>
    <row r="239">
      <c r="A239" s="19" t="n"/>
      <c r="B239" s="19" t="n"/>
      <c r="C239" s="19" t="n"/>
      <c r="D239" s="19" t="n"/>
      <c r="E239" s="19" t="n"/>
      <c r="F239" s="20" t="n"/>
      <c r="G239" s="19" t="n"/>
      <c r="H239" s="19" t="n"/>
      <c r="I239" s="19" t="n"/>
      <c r="J239" s="21" t="n"/>
      <c r="K239" s="18">
        <f>IF(D239="","",IF(D239&gt;=70,"YES","no"))</f>
        <v/>
      </c>
    </row>
    <row r="240">
      <c r="A240" s="19" t="n"/>
      <c r="B240" s="19" t="n"/>
      <c r="C240" s="19" t="n"/>
      <c r="D240" s="19" t="n"/>
      <c r="E240" s="19" t="n"/>
      <c r="F240" s="20" t="n"/>
      <c r="G240" s="19" t="n"/>
      <c r="H240" s="19" t="n"/>
      <c r="I240" s="19" t="n"/>
      <c r="J240" s="21" t="n"/>
      <c r="K240" s="18">
        <f>IF(D240="","",IF(D240&gt;=70,"YES","no"))</f>
        <v/>
      </c>
    </row>
    <row r="241">
      <c r="A241" s="19" t="n"/>
      <c r="B241" s="19" t="n"/>
      <c r="C241" s="19" t="n"/>
      <c r="D241" s="19" t="n"/>
      <c r="E241" s="19" t="n"/>
      <c r="F241" s="20" t="n"/>
      <c r="G241" s="19" t="n"/>
      <c r="H241" s="19" t="n"/>
      <c r="I241" s="19" t="n"/>
      <c r="J241" s="21" t="n"/>
      <c r="K241" s="18">
        <f>IF(D241="","",IF(D241&gt;=70,"YES","no"))</f>
        <v/>
      </c>
    </row>
    <row r="242">
      <c r="A242" s="19" t="n"/>
      <c r="B242" s="19" t="n"/>
      <c r="C242" s="19" t="n"/>
      <c r="D242" s="19" t="n"/>
      <c r="E242" s="19" t="n"/>
      <c r="F242" s="20" t="n"/>
      <c r="G242" s="19" t="n"/>
      <c r="H242" s="19" t="n"/>
      <c r="I242" s="19" t="n"/>
      <c r="J242" s="21" t="n"/>
      <c r="K242" s="18">
        <f>IF(D242="","",IF(D242&gt;=70,"YES","no"))</f>
        <v/>
      </c>
    </row>
    <row r="243">
      <c r="A243" s="19" t="n"/>
      <c r="B243" s="19" t="n"/>
      <c r="C243" s="19" t="n"/>
      <c r="D243" s="19" t="n"/>
      <c r="E243" s="19" t="n"/>
      <c r="F243" s="20" t="n"/>
      <c r="G243" s="19" t="n"/>
      <c r="H243" s="19" t="n"/>
      <c r="I243" s="19" t="n"/>
      <c r="J243" s="21" t="n"/>
      <c r="K243" s="18">
        <f>IF(D243="","",IF(D243&gt;=70,"YES","no"))</f>
        <v/>
      </c>
    </row>
    <row r="244">
      <c r="A244" s="19" t="n"/>
      <c r="B244" s="19" t="n"/>
      <c r="C244" s="19" t="n"/>
      <c r="D244" s="19" t="n"/>
      <c r="E244" s="19" t="n"/>
      <c r="F244" s="20" t="n"/>
      <c r="G244" s="19" t="n"/>
      <c r="H244" s="19" t="n"/>
      <c r="I244" s="19" t="n"/>
      <c r="J244" s="21" t="n"/>
      <c r="K244" s="18">
        <f>IF(D244="","",IF(D244&gt;=70,"YES","no"))</f>
        <v/>
      </c>
    </row>
    <row r="245">
      <c r="A245" s="19" t="n"/>
      <c r="B245" s="19" t="n"/>
      <c r="C245" s="19" t="n"/>
      <c r="D245" s="19" t="n"/>
      <c r="E245" s="19" t="n"/>
      <c r="F245" s="20" t="n"/>
      <c r="G245" s="19" t="n"/>
      <c r="H245" s="19" t="n"/>
      <c r="I245" s="19" t="n"/>
      <c r="J245" s="21" t="n"/>
      <c r="K245" s="18">
        <f>IF(D245="","",IF(D245&gt;=70,"YES","no"))</f>
        <v/>
      </c>
    </row>
    <row r="246">
      <c r="A246" s="19" t="n"/>
      <c r="B246" s="19" t="n"/>
      <c r="C246" s="19" t="n"/>
      <c r="D246" s="19" t="n"/>
      <c r="E246" s="19" t="n"/>
      <c r="F246" s="20" t="n"/>
      <c r="G246" s="19" t="n"/>
      <c r="H246" s="19" t="n"/>
      <c r="I246" s="19" t="n"/>
      <c r="J246" s="21" t="n"/>
      <c r="K246" s="18">
        <f>IF(D246="","",IF(D246&gt;=70,"YES","no"))</f>
        <v/>
      </c>
    </row>
    <row r="247">
      <c r="A247" s="19" t="n"/>
      <c r="B247" s="19" t="n"/>
      <c r="C247" s="19" t="n"/>
      <c r="D247" s="19" t="n"/>
      <c r="E247" s="19" t="n"/>
      <c r="F247" s="20" t="n"/>
      <c r="G247" s="19" t="n"/>
      <c r="H247" s="19" t="n"/>
      <c r="I247" s="19" t="n"/>
      <c r="J247" s="21" t="n"/>
      <c r="K247" s="18">
        <f>IF(D247="","",IF(D247&gt;=70,"YES","no"))</f>
        <v/>
      </c>
    </row>
    <row r="248">
      <c r="A248" s="19" t="n"/>
      <c r="B248" s="19" t="n"/>
      <c r="C248" s="19" t="n"/>
      <c r="D248" s="19" t="n"/>
      <c r="E248" s="19" t="n"/>
      <c r="F248" s="20" t="n"/>
      <c r="G248" s="19" t="n"/>
      <c r="H248" s="19" t="n"/>
      <c r="I248" s="19" t="n"/>
      <c r="J248" s="21" t="n"/>
      <c r="K248" s="18">
        <f>IF(D248="","",IF(D248&gt;=70,"YES","no"))</f>
        <v/>
      </c>
    </row>
    <row r="249">
      <c r="A249" s="19" t="n"/>
      <c r="B249" s="19" t="n"/>
      <c r="C249" s="19" t="n"/>
      <c r="D249" s="19" t="n"/>
      <c r="E249" s="19" t="n"/>
      <c r="F249" s="20" t="n"/>
      <c r="G249" s="19" t="n"/>
      <c r="H249" s="19" t="n"/>
      <c r="I249" s="19" t="n"/>
      <c r="J249" s="21" t="n"/>
      <c r="K249" s="18">
        <f>IF(D249="","",IF(D249&gt;=70,"YES","no"))</f>
        <v/>
      </c>
    </row>
    <row r="250">
      <c r="A250" s="19" t="n"/>
      <c r="B250" s="19" t="n"/>
      <c r="C250" s="19" t="n"/>
      <c r="D250" s="19" t="n"/>
      <c r="E250" s="19" t="n"/>
      <c r="F250" s="20" t="n"/>
      <c r="G250" s="19" t="n"/>
      <c r="H250" s="19" t="n"/>
      <c r="I250" s="19" t="n"/>
      <c r="J250" s="21" t="n"/>
      <c r="K250" s="18">
        <f>IF(D250="","",IF(D250&gt;=70,"YES","no"))</f>
        <v/>
      </c>
    </row>
    <row r="251">
      <c r="A251" s="19" t="n"/>
      <c r="B251" s="19" t="n"/>
      <c r="C251" s="19" t="n"/>
      <c r="D251" s="19" t="n"/>
      <c r="E251" s="19" t="n"/>
      <c r="F251" s="20" t="n"/>
      <c r="G251" s="19" t="n"/>
      <c r="H251" s="19" t="n"/>
      <c r="I251" s="19" t="n"/>
      <c r="J251" s="21" t="n"/>
      <c r="K251" s="18">
        <f>IF(D251="","",IF(D251&gt;=70,"YES","no"))</f>
        <v/>
      </c>
    </row>
    <row r="252">
      <c r="A252" s="19" t="n"/>
      <c r="B252" s="19" t="n"/>
      <c r="C252" s="19" t="n"/>
      <c r="D252" s="19" t="n"/>
      <c r="E252" s="19" t="n"/>
      <c r="F252" s="20" t="n"/>
      <c r="G252" s="19" t="n"/>
      <c r="H252" s="19" t="n"/>
      <c r="I252" s="19" t="n"/>
      <c r="J252" s="21" t="n"/>
      <c r="K252" s="18">
        <f>IF(D252="","",IF(D252&gt;=70,"YES","no"))</f>
        <v/>
      </c>
    </row>
    <row r="253">
      <c r="A253" s="19" t="n"/>
      <c r="B253" s="19" t="n"/>
      <c r="C253" s="19" t="n"/>
      <c r="D253" s="19" t="n"/>
      <c r="E253" s="19" t="n"/>
      <c r="F253" s="20" t="n"/>
      <c r="G253" s="19" t="n"/>
      <c r="H253" s="19" t="n"/>
      <c r="I253" s="19" t="n"/>
      <c r="J253" s="21" t="n"/>
      <c r="K253" s="18">
        <f>IF(D253="","",IF(D253&gt;=70,"YES","no"))</f>
        <v/>
      </c>
    </row>
    <row r="254">
      <c r="A254" s="19" t="n"/>
      <c r="B254" s="19" t="n"/>
      <c r="C254" s="19" t="n"/>
      <c r="D254" s="19" t="n"/>
      <c r="E254" s="19" t="n"/>
      <c r="F254" s="20" t="n"/>
      <c r="G254" s="19" t="n"/>
      <c r="H254" s="19" t="n"/>
      <c r="I254" s="19" t="n"/>
      <c r="J254" s="21" t="n"/>
      <c r="K254" s="18">
        <f>IF(D254="","",IF(D254&gt;=70,"YES","no"))</f>
        <v/>
      </c>
    </row>
    <row r="255">
      <c r="A255" s="19" t="n"/>
      <c r="B255" s="19" t="n"/>
      <c r="C255" s="19" t="n"/>
      <c r="D255" s="19" t="n"/>
      <c r="E255" s="19" t="n"/>
      <c r="F255" s="20" t="n"/>
      <c r="G255" s="19" t="n"/>
      <c r="H255" s="19" t="n"/>
      <c r="I255" s="19" t="n"/>
      <c r="J255" s="21" t="n"/>
      <c r="K255" s="18">
        <f>IF(D255="","",IF(D255&gt;=70,"YES","no"))</f>
        <v/>
      </c>
    </row>
    <row r="256">
      <c r="A256" s="19" t="n"/>
      <c r="B256" s="19" t="n"/>
      <c r="C256" s="19" t="n"/>
      <c r="D256" s="19" t="n"/>
      <c r="E256" s="19" t="n"/>
      <c r="F256" s="20" t="n"/>
      <c r="G256" s="19" t="n"/>
      <c r="H256" s="19" t="n"/>
      <c r="I256" s="19" t="n"/>
      <c r="J256" s="21" t="n"/>
      <c r="K256" s="18">
        <f>IF(D256="","",IF(D256&gt;=70,"YES","no"))</f>
        <v/>
      </c>
    </row>
    <row r="257">
      <c r="A257" s="19" t="n"/>
      <c r="B257" s="19" t="n"/>
      <c r="C257" s="19" t="n"/>
      <c r="D257" s="19" t="n"/>
      <c r="E257" s="19" t="n"/>
      <c r="F257" s="20" t="n"/>
      <c r="G257" s="19" t="n"/>
      <c r="H257" s="19" t="n"/>
      <c r="I257" s="19" t="n"/>
      <c r="J257" s="21" t="n"/>
      <c r="K257" s="18">
        <f>IF(D257="","",IF(D257&gt;=70,"YES","no"))</f>
        <v/>
      </c>
    </row>
    <row r="258">
      <c r="A258" s="19" t="n"/>
      <c r="B258" s="19" t="n"/>
      <c r="C258" s="19" t="n"/>
      <c r="D258" s="19" t="n"/>
      <c r="E258" s="19" t="n"/>
      <c r="F258" s="20" t="n"/>
      <c r="G258" s="19" t="n"/>
      <c r="H258" s="19" t="n"/>
      <c r="I258" s="19" t="n"/>
      <c r="J258" s="21" t="n"/>
      <c r="K258" s="18">
        <f>IF(D258="","",IF(D258&gt;=70,"YES","no"))</f>
        <v/>
      </c>
    </row>
    <row r="259">
      <c r="A259" s="19" t="n"/>
      <c r="B259" s="19" t="n"/>
      <c r="C259" s="19" t="n"/>
      <c r="D259" s="19" t="n"/>
      <c r="E259" s="19" t="n"/>
      <c r="F259" s="20" t="n"/>
      <c r="G259" s="19" t="n"/>
      <c r="H259" s="19" t="n"/>
      <c r="I259" s="19" t="n"/>
      <c r="J259" s="21" t="n"/>
      <c r="K259" s="18">
        <f>IF(D259="","",IF(D259&gt;=70,"YES","no"))</f>
        <v/>
      </c>
    </row>
    <row r="260">
      <c r="A260" s="19" t="n"/>
      <c r="B260" s="19" t="n"/>
      <c r="C260" s="19" t="n"/>
      <c r="D260" s="19" t="n"/>
      <c r="E260" s="19" t="n"/>
      <c r="F260" s="20" t="n"/>
      <c r="G260" s="19" t="n"/>
      <c r="H260" s="19" t="n"/>
      <c r="I260" s="19" t="n"/>
      <c r="J260" s="21" t="n"/>
      <c r="K260" s="18">
        <f>IF(D260="","",IF(D260&gt;=70,"YES","no"))</f>
        <v/>
      </c>
    </row>
    <row r="261">
      <c r="A261" s="19" t="n"/>
      <c r="B261" s="19" t="n"/>
      <c r="C261" s="19" t="n"/>
      <c r="D261" s="19" t="n"/>
      <c r="E261" s="19" t="n"/>
      <c r="F261" s="20" t="n"/>
      <c r="G261" s="19" t="n"/>
      <c r="H261" s="19" t="n"/>
      <c r="I261" s="19" t="n"/>
      <c r="J261" s="21" t="n"/>
      <c r="K261" s="18">
        <f>IF(D261="","",IF(D261&gt;=70,"YES","no"))</f>
        <v/>
      </c>
    </row>
    <row r="262">
      <c r="A262" s="19" t="n"/>
      <c r="B262" s="19" t="n"/>
      <c r="C262" s="19" t="n"/>
      <c r="D262" s="19" t="n"/>
      <c r="E262" s="19" t="n"/>
      <c r="F262" s="20" t="n"/>
      <c r="G262" s="19" t="n"/>
      <c r="H262" s="19" t="n"/>
      <c r="I262" s="19" t="n"/>
      <c r="J262" s="21" t="n"/>
      <c r="K262" s="18">
        <f>IF(D262="","",IF(D262&gt;=70,"YES","no"))</f>
        <v/>
      </c>
    </row>
    <row r="263">
      <c r="A263" s="19" t="n"/>
      <c r="B263" s="19" t="n"/>
      <c r="C263" s="19" t="n"/>
      <c r="D263" s="19" t="n"/>
      <c r="E263" s="19" t="n"/>
      <c r="F263" s="20" t="n"/>
      <c r="G263" s="19" t="n"/>
      <c r="H263" s="19" t="n"/>
      <c r="I263" s="19" t="n"/>
      <c r="J263" s="21" t="n"/>
      <c r="K263" s="18">
        <f>IF(D263="","",IF(D263&gt;=70,"YES","no"))</f>
        <v/>
      </c>
    </row>
    <row r="264">
      <c r="A264" s="19" t="n"/>
      <c r="B264" s="19" t="n"/>
      <c r="C264" s="19" t="n"/>
      <c r="D264" s="19" t="n"/>
      <c r="E264" s="19" t="n"/>
      <c r="F264" s="20" t="n"/>
      <c r="G264" s="19" t="n"/>
      <c r="H264" s="19" t="n"/>
      <c r="I264" s="19" t="n"/>
      <c r="J264" s="21" t="n"/>
      <c r="K264" s="18">
        <f>IF(D264="","",IF(D264&gt;=70,"YES","no"))</f>
        <v/>
      </c>
    </row>
    <row r="265">
      <c r="A265" s="19" t="n"/>
      <c r="B265" s="19" t="n"/>
      <c r="C265" s="19" t="n"/>
      <c r="D265" s="19" t="n"/>
      <c r="E265" s="19" t="n"/>
      <c r="F265" s="20" t="n"/>
      <c r="G265" s="19" t="n"/>
      <c r="H265" s="19" t="n"/>
      <c r="I265" s="19" t="n"/>
      <c r="J265" s="21" t="n"/>
      <c r="K265" s="18">
        <f>IF(D265="","",IF(D265&gt;=70,"YES","no"))</f>
        <v/>
      </c>
    </row>
    <row r="266">
      <c r="A266" s="19" t="n"/>
      <c r="B266" s="19" t="n"/>
      <c r="C266" s="19" t="n"/>
      <c r="D266" s="19" t="n"/>
      <c r="E266" s="19" t="n"/>
      <c r="F266" s="20" t="n"/>
      <c r="G266" s="19" t="n"/>
      <c r="H266" s="19" t="n"/>
      <c r="I266" s="19" t="n"/>
      <c r="J266" s="21" t="n"/>
      <c r="K266" s="18">
        <f>IF(D266="","",IF(D266&gt;=70,"YES","no"))</f>
        <v/>
      </c>
    </row>
    <row r="267">
      <c r="A267" s="19" t="n"/>
      <c r="B267" s="19" t="n"/>
      <c r="C267" s="19" t="n"/>
      <c r="D267" s="19" t="n"/>
      <c r="E267" s="19" t="n"/>
      <c r="F267" s="20" t="n"/>
      <c r="G267" s="19" t="n"/>
      <c r="H267" s="19" t="n"/>
      <c r="I267" s="19" t="n"/>
      <c r="J267" s="21" t="n"/>
      <c r="K267" s="18">
        <f>IF(D267="","",IF(D267&gt;=70,"YES","no"))</f>
        <v/>
      </c>
    </row>
    <row r="268">
      <c r="A268" s="19" t="n"/>
      <c r="B268" s="19" t="n"/>
      <c r="C268" s="19" t="n"/>
      <c r="D268" s="19" t="n"/>
      <c r="E268" s="19" t="n"/>
      <c r="F268" s="20" t="n"/>
      <c r="G268" s="19" t="n"/>
      <c r="H268" s="19" t="n"/>
      <c r="I268" s="19" t="n"/>
      <c r="J268" s="21" t="n"/>
      <c r="K268" s="18">
        <f>IF(D268="","",IF(D268&gt;=70,"YES","no"))</f>
        <v/>
      </c>
    </row>
    <row r="269">
      <c r="A269" s="19" t="n"/>
      <c r="B269" s="19" t="n"/>
      <c r="C269" s="19" t="n"/>
      <c r="D269" s="19" t="n"/>
      <c r="E269" s="19" t="n"/>
      <c r="F269" s="20" t="n"/>
      <c r="G269" s="19" t="n"/>
      <c r="H269" s="19" t="n"/>
      <c r="I269" s="19" t="n"/>
      <c r="J269" s="21" t="n"/>
      <c r="K269" s="18">
        <f>IF(D269="","",IF(D269&gt;=70,"YES","no"))</f>
        <v/>
      </c>
    </row>
    <row r="270">
      <c r="A270" s="19" t="n"/>
      <c r="B270" s="19" t="n"/>
      <c r="C270" s="19" t="n"/>
      <c r="D270" s="19" t="n"/>
      <c r="E270" s="19" t="n"/>
      <c r="F270" s="20" t="n"/>
      <c r="G270" s="19" t="n"/>
      <c r="H270" s="19" t="n"/>
      <c r="I270" s="19" t="n"/>
      <c r="J270" s="21" t="n"/>
      <c r="K270" s="18">
        <f>IF(D270="","",IF(D270&gt;=70,"YES","no"))</f>
        <v/>
      </c>
    </row>
    <row r="271">
      <c r="A271" s="19" t="n"/>
      <c r="B271" s="19" t="n"/>
      <c r="C271" s="19" t="n"/>
      <c r="D271" s="19" t="n"/>
      <c r="E271" s="19" t="n"/>
      <c r="F271" s="20" t="n"/>
      <c r="G271" s="19" t="n"/>
      <c r="H271" s="19" t="n"/>
      <c r="I271" s="19" t="n"/>
      <c r="J271" s="21" t="n"/>
      <c r="K271" s="18">
        <f>IF(D271="","",IF(D271&gt;=70,"YES","no"))</f>
        <v/>
      </c>
    </row>
    <row r="272">
      <c r="A272" s="19" t="n"/>
      <c r="B272" s="19" t="n"/>
      <c r="C272" s="19" t="n"/>
      <c r="D272" s="19" t="n"/>
      <c r="E272" s="19" t="n"/>
      <c r="F272" s="20" t="n"/>
      <c r="G272" s="19" t="n"/>
      <c r="H272" s="19" t="n"/>
      <c r="I272" s="19" t="n"/>
      <c r="J272" s="21" t="n"/>
      <c r="K272" s="18">
        <f>IF(D272="","",IF(D272&gt;=70,"YES","no"))</f>
        <v/>
      </c>
    </row>
    <row r="273">
      <c r="A273" s="19" t="n"/>
      <c r="B273" s="19" t="n"/>
      <c r="C273" s="19" t="n"/>
      <c r="D273" s="19" t="n"/>
      <c r="E273" s="19" t="n"/>
      <c r="F273" s="20" t="n"/>
      <c r="G273" s="19" t="n"/>
      <c r="H273" s="19" t="n"/>
      <c r="I273" s="19" t="n"/>
      <c r="J273" s="21" t="n"/>
      <c r="K273" s="18">
        <f>IF(D273="","",IF(D273&gt;=70,"YES","no"))</f>
        <v/>
      </c>
    </row>
    <row r="274">
      <c r="A274" s="19" t="n"/>
      <c r="B274" s="19" t="n"/>
      <c r="C274" s="19" t="n"/>
      <c r="D274" s="19" t="n"/>
      <c r="E274" s="19" t="n"/>
      <c r="F274" s="20" t="n"/>
      <c r="G274" s="19" t="n"/>
      <c r="H274" s="19" t="n"/>
      <c r="I274" s="19" t="n"/>
      <c r="J274" s="21" t="n"/>
      <c r="K274" s="18">
        <f>IF(D274="","",IF(D274&gt;=70,"YES","no"))</f>
        <v/>
      </c>
    </row>
    <row r="275">
      <c r="A275" s="19" t="n"/>
      <c r="B275" s="19" t="n"/>
      <c r="C275" s="19" t="n"/>
      <c r="D275" s="19" t="n"/>
      <c r="E275" s="19" t="n"/>
      <c r="F275" s="20" t="n"/>
      <c r="G275" s="19" t="n"/>
      <c r="H275" s="19" t="n"/>
      <c r="I275" s="19" t="n"/>
      <c r="J275" s="21" t="n"/>
      <c r="K275" s="18">
        <f>IF(D275="","",IF(D275&gt;=70,"YES","no"))</f>
        <v/>
      </c>
    </row>
    <row r="276">
      <c r="A276" s="19" t="n"/>
      <c r="B276" s="19" t="n"/>
      <c r="C276" s="19" t="n"/>
      <c r="D276" s="19" t="n"/>
      <c r="E276" s="19" t="n"/>
      <c r="F276" s="20" t="n"/>
      <c r="G276" s="19" t="n"/>
      <c r="H276" s="19" t="n"/>
      <c r="I276" s="19" t="n"/>
      <c r="J276" s="21" t="n"/>
      <c r="K276" s="18">
        <f>IF(D276="","",IF(D276&gt;=70,"YES","no"))</f>
        <v/>
      </c>
    </row>
    <row r="277">
      <c r="A277" s="19" t="n"/>
      <c r="B277" s="19" t="n"/>
      <c r="C277" s="19" t="n"/>
      <c r="D277" s="19" t="n"/>
      <c r="E277" s="19" t="n"/>
      <c r="F277" s="20" t="n"/>
      <c r="G277" s="19" t="n"/>
      <c r="H277" s="19" t="n"/>
      <c r="I277" s="19" t="n"/>
      <c r="J277" s="21" t="n"/>
      <c r="K277" s="18">
        <f>IF(D277="","",IF(D277&gt;=70,"YES","no"))</f>
        <v/>
      </c>
    </row>
    <row r="278">
      <c r="A278" s="19" t="n"/>
      <c r="B278" s="19" t="n"/>
      <c r="C278" s="19" t="n"/>
      <c r="D278" s="19" t="n"/>
      <c r="E278" s="19" t="n"/>
      <c r="F278" s="20" t="n"/>
      <c r="G278" s="19" t="n"/>
      <c r="H278" s="19" t="n"/>
      <c r="I278" s="19" t="n"/>
      <c r="J278" s="21" t="n"/>
      <c r="K278" s="18">
        <f>IF(D278="","",IF(D278&gt;=70,"YES","no"))</f>
        <v/>
      </c>
    </row>
    <row r="279">
      <c r="A279" s="19" t="n"/>
      <c r="B279" s="19" t="n"/>
      <c r="C279" s="19" t="n"/>
      <c r="D279" s="19" t="n"/>
      <c r="E279" s="19" t="n"/>
      <c r="F279" s="20" t="n"/>
      <c r="G279" s="19" t="n"/>
      <c r="H279" s="19" t="n"/>
      <c r="I279" s="19" t="n"/>
      <c r="J279" s="21" t="n"/>
      <c r="K279" s="18">
        <f>IF(D279="","",IF(D279&gt;=70,"YES","no"))</f>
        <v/>
      </c>
    </row>
    <row r="280">
      <c r="A280" s="19" t="n"/>
      <c r="B280" s="19" t="n"/>
      <c r="C280" s="19" t="n"/>
      <c r="D280" s="19" t="n"/>
      <c r="E280" s="19" t="n"/>
      <c r="F280" s="20" t="n"/>
      <c r="G280" s="19" t="n"/>
      <c r="H280" s="19" t="n"/>
      <c r="I280" s="19" t="n"/>
      <c r="J280" s="21" t="n"/>
      <c r="K280" s="18">
        <f>IF(D280="","",IF(D280&gt;=70,"YES","no"))</f>
        <v/>
      </c>
    </row>
    <row r="281">
      <c r="A281" s="19" t="n"/>
      <c r="B281" s="19" t="n"/>
      <c r="C281" s="19" t="n"/>
      <c r="D281" s="19" t="n"/>
      <c r="E281" s="19" t="n"/>
      <c r="F281" s="20" t="n"/>
      <c r="G281" s="19" t="n"/>
      <c r="H281" s="19" t="n"/>
      <c r="I281" s="19" t="n"/>
      <c r="J281" s="21" t="n"/>
      <c r="K281" s="18">
        <f>IF(D281="","",IF(D281&gt;=70,"YES","no"))</f>
        <v/>
      </c>
    </row>
    <row r="282">
      <c r="A282" s="19" t="n"/>
      <c r="B282" s="19" t="n"/>
      <c r="C282" s="19" t="n"/>
      <c r="D282" s="19" t="n"/>
      <c r="E282" s="19" t="n"/>
      <c r="F282" s="20" t="n"/>
      <c r="G282" s="19" t="n"/>
      <c r="H282" s="19" t="n"/>
      <c r="I282" s="19" t="n"/>
      <c r="J282" s="21" t="n"/>
      <c r="K282" s="18">
        <f>IF(D282="","",IF(D282&gt;=70,"YES","no"))</f>
        <v/>
      </c>
    </row>
    <row r="283">
      <c r="A283" s="19" t="n"/>
      <c r="B283" s="19" t="n"/>
      <c r="C283" s="19" t="n"/>
      <c r="D283" s="19" t="n"/>
      <c r="E283" s="19" t="n"/>
      <c r="F283" s="20" t="n"/>
      <c r="G283" s="19" t="n"/>
      <c r="H283" s="19" t="n"/>
      <c r="I283" s="19" t="n"/>
      <c r="J283" s="21" t="n"/>
      <c r="K283" s="18">
        <f>IF(D283="","",IF(D283&gt;=70,"YES","no"))</f>
        <v/>
      </c>
    </row>
    <row r="284">
      <c r="A284" s="19" t="n"/>
      <c r="B284" s="19" t="n"/>
      <c r="C284" s="19" t="n"/>
      <c r="D284" s="19" t="n"/>
      <c r="E284" s="19" t="n"/>
      <c r="F284" s="20" t="n"/>
      <c r="G284" s="19" t="n"/>
      <c r="H284" s="19" t="n"/>
      <c r="I284" s="19" t="n"/>
      <c r="J284" s="21" t="n"/>
      <c r="K284" s="18">
        <f>IF(D284="","",IF(D284&gt;=70,"YES","no"))</f>
        <v/>
      </c>
    </row>
    <row r="285">
      <c r="A285" s="19" t="n"/>
      <c r="B285" s="19" t="n"/>
      <c r="C285" s="19" t="n"/>
      <c r="D285" s="19" t="n"/>
      <c r="E285" s="19" t="n"/>
      <c r="F285" s="20" t="n"/>
      <c r="G285" s="19" t="n"/>
      <c r="H285" s="19" t="n"/>
      <c r="I285" s="19" t="n"/>
      <c r="J285" s="21" t="n"/>
      <c r="K285" s="18">
        <f>IF(D285="","",IF(D285&gt;=70,"YES","no"))</f>
        <v/>
      </c>
    </row>
    <row r="286">
      <c r="A286" s="19" t="n"/>
      <c r="B286" s="19" t="n"/>
      <c r="C286" s="19" t="n"/>
      <c r="D286" s="19" t="n"/>
      <c r="E286" s="19" t="n"/>
      <c r="F286" s="20" t="n"/>
      <c r="G286" s="19" t="n"/>
      <c r="H286" s="19" t="n"/>
      <c r="I286" s="19" t="n"/>
      <c r="J286" s="21" t="n"/>
      <c r="K286" s="18">
        <f>IF(D286="","",IF(D286&gt;=70,"YES","no"))</f>
        <v/>
      </c>
    </row>
    <row r="287">
      <c r="A287" s="19" t="n"/>
      <c r="B287" s="19" t="n"/>
      <c r="C287" s="19" t="n"/>
      <c r="D287" s="19" t="n"/>
      <c r="E287" s="19" t="n"/>
      <c r="F287" s="20" t="n"/>
      <c r="G287" s="19" t="n"/>
      <c r="H287" s="19" t="n"/>
      <c r="I287" s="19" t="n"/>
      <c r="J287" s="21" t="n"/>
      <c r="K287" s="18">
        <f>IF(D287="","",IF(D287&gt;=70,"YES","no"))</f>
        <v/>
      </c>
    </row>
    <row r="288">
      <c r="A288" s="19" t="n"/>
      <c r="B288" s="19" t="n"/>
      <c r="C288" s="19" t="n"/>
      <c r="D288" s="19" t="n"/>
      <c r="E288" s="19" t="n"/>
      <c r="F288" s="20" t="n"/>
      <c r="G288" s="19" t="n"/>
      <c r="H288" s="19" t="n"/>
      <c r="I288" s="19" t="n"/>
      <c r="J288" s="21" t="n"/>
      <c r="K288" s="18">
        <f>IF(D288="","",IF(D288&gt;=70,"YES","no"))</f>
        <v/>
      </c>
    </row>
    <row r="289">
      <c r="A289" s="19" t="n"/>
      <c r="B289" s="19" t="n"/>
      <c r="C289" s="19" t="n"/>
      <c r="D289" s="19" t="n"/>
      <c r="E289" s="19" t="n"/>
      <c r="F289" s="20" t="n"/>
      <c r="G289" s="19" t="n"/>
      <c r="H289" s="19" t="n"/>
      <c r="I289" s="19" t="n"/>
      <c r="J289" s="21" t="n"/>
      <c r="K289" s="18">
        <f>IF(D289="","",IF(D289&gt;=70,"YES","no"))</f>
        <v/>
      </c>
    </row>
    <row r="290">
      <c r="A290" s="19" t="n"/>
      <c r="B290" s="19" t="n"/>
      <c r="C290" s="19" t="n"/>
      <c r="D290" s="19" t="n"/>
      <c r="E290" s="19" t="n"/>
      <c r="F290" s="20" t="n"/>
      <c r="G290" s="19" t="n"/>
      <c r="H290" s="19" t="n"/>
      <c r="I290" s="19" t="n"/>
      <c r="J290" s="21" t="n"/>
      <c r="K290" s="18">
        <f>IF(D290="","",IF(D290&gt;=70,"YES","no"))</f>
        <v/>
      </c>
    </row>
    <row r="291">
      <c r="A291" s="19" t="n"/>
      <c r="B291" s="19" t="n"/>
      <c r="C291" s="19" t="n"/>
      <c r="D291" s="19" t="n"/>
      <c r="E291" s="19" t="n"/>
      <c r="F291" s="20" t="n"/>
      <c r="G291" s="19" t="n"/>
      <c r="H291" s="19" t="n"/>
      <c r="I291" s="19" t="n"/>
      <c r="J291" s="21" t="n"/>
      <c r="K291" s="18">
        <f>IF(D291="","",IF(D291&gt;=70,"YES","no"))</f>
        <v/>
      </c>
    </row>
    <row r="292">
      <c r="A292" s="19" t="n"/>
      <c r="B292" s="19" t="n"/>
      <c r="C292" s="19" t="n"/>
      <c r="D292" s="19" t="n"/>
      <c r="E292" s="19" t="n"/>
      <c r="F292" s="20" t="n"/>
      <c r="G292" s="19" t="n"/>
      <c r="H292" s="19" t="n"/>
      <c r="I292" s="19" t="n"/>
      <c r="J292" s="21" t="n"/>
      <c r="K292" s="18">
        <f>IF(D292="","",IF(D292&gt;=70,"YES","no"))</f>
        <v/>
      </c>
    </row>
    <row r="293">
      <c r="A293" s="19" t="n"/>
      <c r="B293" s="19" t="n"/>
      <c r="C293" s="19" t="n"/>
      <c r="D293" s="19" t="n"/>
      <c r="E293" s="19" t="n"/>
      <c r="F293" s="20" t="n"/>
      <c r="G293" s="19" t="n"/>
      <c r="H293" s="19" t="n"/>
      <c r="I293" s="19" t="n"/>
      <c r="J293" s="21" t="n"/>
      <c r="K293" s="18">
        <f>IF(D293="","",IF(D293&gt;=70,"YES","no"))</f>
        <v/>
      </c>
    </row>
    <row r="294">
      <c r="A294" s="19" t="n"/>
      <c r="B294" s="19" t="n"/>
      <c r="C294" s="19" t="n"/>
      <c r="D294" s="19" t="n"/>
      <c r="E294" s="19" t="n"/>
      <c r="F294" s="20" t="n"/>
      <c r="G294" s="19" t="n"/>
      <c r="H294" s="19" t="n"/>
      <c r="I294" s="19" t="n"/>
      <c r="J294" s="21" t="n"/>
      <c r="K294" s="18">
        <f>IF(D294="","",IF(D294&gt;=70,"YES","no"))</f>
        <v/>
      </c>
    </row>
    <row r="295">
      <c r="A295" s="19" t="n"/>
      <c r="B295" s="19" t="n"/>
      <c r="C295" s="19" t="n"/>
      <c r="D295" s="19" t="n"/>
      <c r="E295" s="19" t="n"/>
      <c r="F295" s="20" t="n"/>
      <c r="G295" s="19" t="n"/>
      <c r="H295" s="19" t="n"/>
      <c r="I295" s="19" t="n"/>
      <c r="J295" s="21" t="n"/>
      <c r="K295" s="18">
        <f>IF(D295="","",IF(D295&gt;=70,"YES","no"))</f>
        <v/>
      </c>
    </row>
    <row r="296">
      <c r="A296" s="19" t="n"/>
      <c r="B296" s="19" t="n"/>
      <c r="C296" s="19" t="n"/>
      <c r="D296" s="19" t="n"/>
      <c r="E296" s="19" t="n"/>
      <c r="F296" s="20" t="n"/>
      <c r="G296" s="19" t="n"/>
      <c r="H296" s="19" t="n"/>
      <c r="I296" s="19" t="n"/>
      <c r="J296" s="21" t="n"/>
      <c r="K296" s="18">
        <f>IF(D296="","",IF(D296&gt;=70,"YES","no"))</f>
        <v/>
      </c>
    </row>
    <row r="297">
      <c r="A297" s="19" t="n"/>
      <c r="B297" s="19" t="n"/>
      <c r="C297" s="19" t="n"/>
      <c r="D297" s="19" t="n"/>
      <c r="E297" s="19" t="n"/>
      <c r="F297" s="20" t="n"/>
      <c r="G297" s="19" t="n"/>
      <c r="H297" s="19" t="n"/>
      <c r="I297" s="19" t="n"/>
      <c r="J297" s="21" t="n"/>
      <c r="K297" s="18">
        <f>IF(D297="","",IF(D297&gt;=70,"YES","no"))</f>
        <v/>
      </c>
    </row>
    <row r="298">
      <c r="A298" s="19" t="n"/>
      <c r="B298" s="19" t="n"/>
      <c r="C298" s="19" t="n"/>
      <c r="D298" s="19" t="n"/>
      <c r="E298" s="19" t="n"/>
      <c r="F298" s="20" t="n"/>
      <c r="G298" s="19" t="n"/>
      <c r="H298" s="19" t="n"/>
      <c r="I298" s="19" t="n"/>
      <c r="J298" s="21" t="n"/>
      <c r="K298" s="18">
        <f>IF(D298="","",IF(D298&gt;=70,"YES","no"))</f>
        <v/>
      </c>
    </row>
    <row r="299">
      <c r="A299" s="19" t="n"/>
      <c r="B299" s="19" t="n"/>
      <c r="C299" s="19" t="n"/>
      <c r="D299" s="19" t="n"/>
      <c r="E299" s="19" t="n"/>
      <c r="F299" s="20" t="n"/>
      <c r="G299" s="19" t="n"/>
      <c r="H299" s="19" t="n"/>
      <c r="I299" s="19" t="n"/>
      <c r="J299" s="21" t="n"/>
      <c r="K299" s="18">
        <f>IF(D299="","",IF(D299&gt;=70,"YES","no"))</f>
        <v/>
      </c>
    </row>
    <row r="300">
      <c r="A300" s="19" t="n"/>
      <c r="B300" s="19" t="n"/>
      <c r="C300" s="19" t="n"/>
      <c r="D300" s="19" t="n"/>
      <c r="E300" s="19" t="n"/>
      <c r="F300" s="20" t="n"/>
      <c r="G300" s="19" t="n"/>
      <c r="H300" s="19" t="n"/>
      <c r="I300" s="19" t="n"/>
      <c r="J300" s="21" t="n"/>
      <c r="K300" s="18">
        <f>IF(D300="","",IF(D300&gt;=70,"YES","no"))</f>
        <v/>
      </c>
    </row>
    <row r="301">
      <c r="A301" s="19" t="n"/>
      <c r="B301" s="19" t="n"/>
      <c r="C301" s="19" t="n"/>
      <c r="D301" s="19" t="n"/>
      <c r="E301" s="19" t="n"/>
      <c r="F301" s="20" t="n"/>
      <c r="G301" s="19" t="n"/>
      <c r="H301" s="19" t="n"/>
      <c r="I301" s="19" t="n"/>
      <c r="J301" s="21" t="n"/>
      <c r="K301" s="18">
        <f>IF(D301="","",IF(D301&gt;=70,"YES","no"))</f>
        <v/>
      </c>
    </row>
    <row r="302">
      <c r="A302" s="19" t="n"/>
      <c r="B302" s="19" t="n"/>
      <c r="C302" s="19" t="n"/>
      <c r="D302" s="19" t="n"/>
      <c r="E302" s="19" t="n"/>
      <c r="F302" s="20" t="n"/>
      <c r="G302" s="19" t="n"/>
      <c r="H302" s="19" t="n"/>
      <c r="I302" s="19" t="n"/>
      <c r="J302" s="21" t="n"/>
      <c r="K302" s="18">
        <f>IF(D302="","",IF(D302&gt;=70,"YES","no"))</f>
        <v/>
      </c>
    </row>
    <row r="303">
      <c r="A303" s="19" t="n"/>
      <c r="B303" s="19" t="n"/>
      <c r="C303" s="19" t="n"/>
      <c r="D303" s="19" t="n"/>
      <c r="E303" s="19" t="n"/>
      <c r="F303" s="20" t="n"/>
      <c r="G303" s="19" t="n"/>
      <c r="H303" s="19" t="n"/>
      <c r="I303" s="19" t="n"/>
      <c r="J303" s="21" t="n"/>
      <c r="K303" s="18">
        <f>IF(D303="","",IF(D303&gt;=70,"YES","no"))</f>
        <v/>
      </c>
    </row>
    <row r="304">
      <c r="A304" s="19" t="n"/>
      <c r="B304" s="19" t="n"/>
      <c r="C304" s="19" t="n"/>
      <c r="D304" s="19" t="n"/>
      <c r="E304" s="19" t="n"/>
      <c r="F304" s="20" t="n"/>
      <c r="G304" s="19" t="n"/>
      <c r="H304" s="19" t="n"/>
      <c r="I304" s="19" t="n"/>
      <c r="J304" s="21" t="n"/>
      <c r="K304" s="18">
        <f>IF(D304="","",IF(D304&gt;=70,"YES","no"))</f>
        <v/>
      </c>
    </row>
    <row r="305">
      <c r="A305" s="19" t="n"/>
      <c r="B305" s="19" t="n"/>
      <c r="C305" s="19" t="n"/>
      <c r="D305" s="19" t="n"/>
      <c r="E305" s="19" t="n"/>
      <c r="F305" s="20" t="n"/>
      <c r="G305" s="19" t="n"/>
      <c r="H305" s="19" t="n"/>
      <c r="I305" s="19" t="n"/>
      <c r="J305" s="21" t="n"/>
      <c r="K305" s="18">
        <f>IF(D305="","",IF(D305&gt;=70,"YES","no"))</f>
        <v/>
      </c>
    </row>
    <row r="306">
      <c r="A306" s="19" t="n"/>
      <c r="B306" s="19" t="n"/>
      <c r="C306" s="19" t="n"/>
      <c r="D306" s="19" t="n"/>
      <c r="E306" s="19" t="n"/>
      <c r="F306" s="20" t="n"/>
      <c r="G306" s="19" t="n"/>
      <c r="H306" s="19" t="n"/>
      <c r="I306" s="19" t="n"/>
      <c r="J306" s="21" t="n"/>
      <c r="K306" s="18">
        <f>IF(D306="","",IF(D306&gt;=70,"YES","no"))</f>
        <v/>
      </c>
    </row>
    <row r="307">
      <c r="A307" s="19" t="n"/>
      <c r="B307" s="19" t="n"/>
      <c r="C307" s="19" t="n"/>
      <c r="D307" s="19" t="n"/>
      <c r="E307" s="19" t="n"/>
      <c r="F307" s="20" t="n"/>
      <c r="G307" s="19" t="n"/>
      <c r="H307" s="19" t="n"/>
      <c r="I307" s="19" t="n"/>
      <c r="J307" s="21" t="n"/>
      <c r="K307" s="18">
        <f>IF(D307="","",IF(D307&gt;=70,"YES","no"))</f>
        <v/>
      </c>
    </row>
    <row r="308">
      <c r="A308" s="19" t="n"/>
      <c r="B308" s="19" t="n"/>
      <c r="C308" s="19" t="n"/>
      <c r="D308" s="19" t="n"/>
      <c r="E308" s="19" t="n"/>
      <c r="F308" s="20" t="n"/>
      <c r="G308" s="19" t="n"/>
      <c r="H308" s="19" t="n"/>
      <c r="I308" s="19" t="n"/>
      <c r="J308" s="21" t="n"/>
      <c r="K308" s="18">
        <f>IF(D308="","",IF(D308&gt;=70,"YES","no"))</f>
        <v/>
      </c>
    </row>
    <row r="309">
      <c r="A309" s="19" t="n"/>
      <c r="B309" s="19" t="n"/>
      <c r="C309" s="19" t="n"/>
      <c r="D309" s="19" t="n"/>
      <c r="E309" s="19" t="n"/>
      <c r="F309" s="20" t="n"/>
      <c r="G309" s="19" t="n"/>
      <c r="H309" s="19" t="n"/>
      <c r="I309" s="19" t="n"/>
      <c r="J309" s="21" t="n"/>
      <c r="K309" s="18">
        <f>IF(D309="","",IF(D309&gt;=70,"YES","no"))</f>
        <v/>
      </c>
    </row>
    <row r="310">
      <c r="A310" s="19" t="n"/>
      <c r="B310" s="19" t="n"/>
      <c r="C310" s="19" t="n"/>
      <c r="D310" s="19" t="n"/>
      <c r="E310" s="19" t="n"/>
      <c r="F310" s="20" t="n"/>
      <c r="G310" s="19" t="n"/>
      <c r="H310" s="19" t="n"/>
      <c r="I310" s="19" t="n"/>
      <c r="J310" s="21" t="n"/>
      <c r="K310" s="18">
        <f>IF(D310="","",IF(D310&gt;=70,"YES","no"))</f>
        <v/>
      </c>
    </row>
    <row r="311">
      <c r="A311" s="19" t="n"/>
      <c r="B311" s="19" t="n"/>
      <c r="C311" s="19" t="n"/>
      <c r="D311" s="19" t="n"/>
      <c r="E311" s="19" t="n"/>
      <c r="F311" s="20" t="n"/>
      <c r="G311" s="19" t="n"/>
      <c r="H311" s="19" t="n"/>
      <c r="I311" s="19" t="n"/>
      <c r="J311" s="21" t="n"/>
      <c r="K311" s="18">
        <f>IF(D311="","",IF(D311&gt;=70,"YES","no"))</f>
        <v/>
      </c>
    </row>
    <row r="312">
      <c r="A312" s="19" t="n"/>
      <c r="B312" s="19" t="n"/>
      <c r="C312" s="19" t="n"/>
      <c r="D312" s="19" t="n"/>
      <c r="E312" s="19" t="n"/>
      <c r="F312" s="20" t="n"/>
      <c r="G312" s="19" t="n"/>
      <c r="H312" s="19" t="n"/>
      <c r="I312" s="19" t="n"/>
      <c r="J312" s="21" t="n"/>
      <c r="K312" s="18">
        <f>IF(D312="","",IF(D312&gt;=70,"YES","no"))</f>
        <v/>
      </c>
    </row>
    <row r="313">
      <c r="A313" s="19" t="n"/>
      <c r="B313" s="19" t="n"/>
      <c r="C313" s="19" t="n"/>
      <c r="D313" s="19" t="n"/>
      <c r="E313" s="19" t="n"/>
      <c r="F313" s="20" t="n"/>
      <c r="G313" s="19" t="n"/>
      <c r="H313" s="19" t="n"/>
      <c r="I313" s="19" t="n"/>
      <c r="J313" s="21" t="n"/>
      <c r="K313" s="18">
        <f>IF(D313="","",IF(D313&gt;=70,"YES","no"))</f>
        <v/>
      </c>
    </row>
    <row r="314">
      <c r="A314" s="19" t="n"/>
      <c r="B314" s="19" t="n"/>
      <c r="C314" s="19" t="n"/>
      <c r="D314" s="19" t="n"/>
      <c r="E314" s="19" t="n"/>
      <c r="F314" s="20" t="n"/>
      <c r="G314" s="19" t="n"/>
      <c r="H314" s="19" t="n"/>
      <c r="I314" s="19" t="n"/>
      <c r="J314" s="21" t="n"/>
      <c r="K314" s="18">
        <f>IF(D314="","",IF(D314&gt;=70,"YES","no"))</f>
        <v/>
      </c>
    </row>
    <row r="315">
      <c r="A315" s="19" t="n"/>
      <c r="B315" s="19" t="n"/>
      <c r="C315" s="19" t="n"/>
      <c r="D315" s="19" t="n"/>
      <c r="E315" s="19" t="n"/>
      <c r="F315" s="20" t="n"/>
      <c r="G315" s="19" t="n"/>
      <c r="H315" s="19" t="n"/>
      <c r="I315" s="19" t="n"/>
      <c r="J315" s="21" t="n"/>
      <c r="K315" s="18">
        <f>IF(D315="","",IF(D315&gt;=70,"YES","no"))</f>
        <v/>
      </c>
    </row>
    <row r="316">
      <c r="A316" s="19" t="n"/>
      <c r="B316" s="19" t="n"/>
      <c r="C316" s="19" t="n"/>
      <c r="D316" s="19" t="n"/>
      <c r="E316" s="19" t="n"/>
      <c r="F316" s="20" t="n"/>
      <c r="G316" s="19" t="n"/>
      <c r="H316" s="19" t="n"/>
      <c r="I316" s="19" t="n"/>
      <c r="J316" s="21" t="n"/>
      <c r="K316" s="18">
        <f>IF(D316="","",IF(D316&gt;=70,"YES","no"))</f>
        <v/>
      </c>
    </row>
    <row r="317">
      <c r="A317" s="19" t="n"/>
      <c r="B317" s="19" t="n"/>
      <c r="C317" s="19" t="n"/>
      <c r="D317" s="19" t="n"/>
      <c r="E317" s="19" t="n"/>
      <c r="F317" s="20" t="n"/>
      <c r="G317" s="19" t="n"/>
      <c r="H317" s="19" t="n"/>
      <c r="I317" s="19" t="n"/>
      <c r="J317" s="21" t="n"/>
      <c r="K317" s="18">
        <f>IF(D317="","",IF(D317&gt;=70,"YES","no"))</f>
        <v/>
      </c>
    </row>
    <row r="318">
      <c r="A318" s="19" t="n"/>
      <c r="B318" s="19" t="n"/>
      <c r="C318" s="19" t="n"/>
      <c r="D318" s="19" t="n"/>
      <c r="E318" s="19" t="n"/>
      <c r="F318" s="20" t="n"/>
      <c r="G318" s="19" t="n"/>
      <c r="H318" s="19" t="n"/>
      <c r="I318" s="19" t="n"/>
      <c r="J318" s="21" t="n"/>
      <c r="K318" s="18">
        <f>IF(D318="","",IF(D318&gt;=70,"YES","no"))</f>
        <v/>
      </c>
    </row>
    <row r="319">
      <c r="A319" s="19" t="n"/>
      <c r="B319" s="19" t="n"/>
      <c r="C319" s="19" t="n"/>
      <c r="D319" s="19" t="n"/>
      <c r="E319" s="19" t="n"/>
      <c r="F319" s="20" t="n"/>
      <c r="G319" s="19" t="n"/>
      <c r="H319" s="19" t="n"/>
      <c r="I319" s="19" t="n"/>
      <c r="J319" s="21" t="n"/>
      <c r="K319" s="18">
        <f>IF(D319="","",IF(D319&gt;=70,"YES","no"))</f>
        <v/>
      </c>
    </row>
    <row r="320">
      <c r="A320" s="19" t="n"/>
      <c r="B320" s="19" t="n"/>
      <c r="C320" s="19" t="n"/>
      <c r="D320" s="19" t="n"/>
      <c r="E320" s="19" t="n"/>
      <c r="F320" s="20" t="n"/>
      <c r="G320" s="19" t="n"/>
      <c r="H320" s="19" t="n"/>
      <c r="I320" s="19" t="n"/>
      <c r="J320" s="21" t="n"/>
      <c r="K320" s="18">
        <f>IF(D320="","",IF(D320&gt;=70,"YES","no"))</f>
        <v/>
      </c>
    </row>
    <row r="321">
      <c r="A321" s="19" t="n"/>
      <c r="B321" s="19" t="n"/>
      <c r="C321" s="19" t="n"/>
      <c r="D321" s="19" t="n"/>
      <c r="E321" s="19" t="n"/>
      <c r="F321" s="20" t="n"/>
      <c r="G321" s="19" t="n"/>
      <c r="H321" s="19" t="n"/>
      <c r="I321" s="19" t="n"/>
      <c r="J321" s="21" t="n"/>
      <c r="K321" s="18">
        <f>IF(D321="","",IF(D321&gt;=70,"YES","no"))</f>
        <v/>
      </c>
    </row>
    <row r="322">
      <c r="A322" s="19" t="n"/>
      <c r="B322" s="19" t="n"/>
      <c r="C322" s="19" t="n"/>
      <c r="D322" s="19" t="n"/>
      <c r="E322" s="19" t="n"/>
      <c r="F322" s="20" t="n"/>
      <c r="G322" s="19" t="n"/>
      <c r="H322" s="19" t="n"/>
      <c r="I322" s="19" t="n"/>
      <c r="J322" s="21" t="n"/>
      <c r="K322" s="18">
        <f>IF(D322="","",IF(D322&gt;=70,"YES","no"))</f>
        <v/>
      </c>
    </row>
    <row r="323">
      <c r="A323" s="19" t="n"/>
      <c r="B323" s="19" t="n"/>
      <c r="C323" s="19" t="n"/>
      <c r="D323" s="19" t="n"/>
      <c r="E323" s="19" t="n"/>
      <c r="F323" s="20" t="n"/>
      <c r="G323" s="19" t="n"/>
      <c r="H323" s="19" t="n"/>
      <c r="I323" s="19" t="n"/>
      <c r="J323" s="21" t="n"/>
      <c r="K323" s="18">
        <f>IF(D323="","",IF(D323&gt;=70,"YES","no"))</f>
        <v/>
      </c>
    </row>
    <row r="324">
      <c r="A324" s="19" t="n"/>
      <c r="B324" s="19" t="n"/>
      <c r="C324" s="19" t="n"/>
      <c r="D324" s="19" t="n"/>
      <c r="E324" s="19" t="n"/>
      <c r="F324" s="20" t="n"/>
      <c r="G324" s="19" t="n"/>
      <c r="H324" s="19" t="n"/>
      <c r="I324" s="19" t="n"/>
      <c r="J324" s="21" t="n"/>
      <c r="K324" s="18">
        <f>IF(D324="","",IF(D324&gt;=70,"YES","no"))</f>
        <v/>
      </c>
    </row>
    <row r="325">
      <c r="A325" s="19" t="n"/>
      <c r="B325" s="19" t="n"/>
      <c r="C325" s="19" t="n"/>
      <c r="D325" s="19" t="n"/>
      <c r="E325" s="19" t="n"/>
      <c r="F325" s="20" t="n"/>
      <c r="G325" s="19" t="n"/>
      <c r="H325" s="19" t="n"/>
      <c r="I325" s="19" t="n"/>
      <c r="J325" s="21" t="n"/>
      <c r="K325" s="18">
        <f>IF(D325="","",IF(D325&gt;=70,"YES","no"))</f>
        <v/>
      </c>
    </row>
    <row r="326">
      <c r="A326" s="19" t="n"/>
      <c r="B326" s="19" t="n"/>
      <c r="C326" s="19" t="n"/>
      <c r="D326" s="19" t="n"/>
      <c r="E326" s="19" t="n"/>
      <c r="F326" s="20" t="n"/>
      <c r="G326" s="19" t="n"/>
      <c r="H326" s="19" t="n"/>
      <c r="I326" s="19" t="n"/>
      <c r="J326" s="21" t="n"/>
      <c r="K326" s="18">
        <f>IF(D326="","",IF(D326&gt;=70,"YES","no"))</f>
        <v/>
      </c>
    </row>
    <row r="327">
      <c r="A327" s="19" t="n"/>
      <c r="B327" s="19" t="n"/>
      <c r="C327" s="19" t="n"/>
      <c r="D327" s="19" t="n"/>
      <c r="E327" s="19" t="n"/>
      <c r="F327" s="20" t="n"/>
      <c r="G327" s="19" t="n"/>
      <c r="H327" s="19" t="n"/>
      <c r="I327" s="19" t="n"/>
      <c r="J327" s="21" t="n"/>
      <c r="K327" s="18">
        <f>IF(D327="","",IF(D327&gt;=70,"YES","no"))</f>
        <v/>
      </c>
    </row>
    <row r="328">
      <c r="A328" s="19" t="n"/>
      <c r="B328" s="19" t="n"/>
      <c r="C328" s="19" t="n"/>
      <c r="D328" s="19" t="n"/>
      <c r="E328" s="19" t="n"/>
      <c r="F328" s="20" t="n"/>
      <c r="G328" s="19" t="n"/>
      <c r="H328" s="19" t="n"/>
      <c r="I328" s="19" t="n"/>
      <c r="J328" s="21" t="n"/>
      <c r="K328" s="18">
        <f>IF(D328="","",IF(D328&gt;=70,"YES","no"))</f>
        <v/>
      </c>
    </row>
    <row r="329">
      <c r="A329" s="19" t="n"/>
      <c r="B329" s="19" t="n"/>
      <c r="C329" s="19" t="n"/>
      <c r="D329" s="19" t="n"/>
      <c r="E329" s="19" t="n"/>
      <c r="F329" s="20" t="n"/>
      <c r="G329" s="19" t="n"/>
      <c r="H329" s="19" t="n"/>
      <c r="I329" s="19" t="n"/>
      <c r="J329" s="21" t="n"/>
      <c r="K329" s="18">
        <f>IF(D329="","",IF(D329&gt;=70,"YES","no"))</f>
        <v/>
      </c>
    </row>
    <row r="330">
      <c r="A330" s="19" t="n"/>
      <c r="B330" s="19" t="n"/>
      <c r="C330" s="19" t="n"/>
      <c r="D330" s="19" t="n"/>
      <c r="E330" s="19" t="n"/>
      <c r="F330" s="20" t="n"/>
      <c r="G330" s="19" t="n"/>
      <c r="H330" s="19" t="n"/>
      <c r="I330" s="19" t="n"/>
      <c r="J330" s="21" t="n"/>
      <c r="K330" s="18">
        <f>IF(D330="","",IF(D330&gt;=70,"YES","no"))</f>
        <v/>
      </c>
    </row>
    <row r="331">
      <c r="A331" s="19" t="n"/>
      <c r="B331" s="19" t="n"/>
      <c r="C331" s="19" t="n"/>
      <c r="D331" s="19" t="n"/>
      <c r="E331" s="19" t="n"/>
      <c r="F331" s="20" t="n"/>
      <c r="G331" s="19" t="n"/>
      <c r="H331" s="19" t="n"/>
      <c r="I331" s="19" t="n"/>
      <c r="J331" s="21" t="n"/>
      <c r="K331" s="18">
        <f>IF(D331="","",IF(D331&gt;=70,"YES","no"))</f>
        <v/>
      </c>
    </row>
    <row r="332">
      <c r="A332" s="19" t="n"/>
      <c r="B332" s="19" t="n"/>
      <c r="C332" s="19" t="n"/>
      <c r="D332" s="19" t="n"/>
      <c r="E332" s="19" t="n"/>
      <c r="F332" s="20" t="n"/>
      <c r="G332" s="19" t="n"/>
      <c r="H332" s="19" t="n"/>
      <c r="I332" s="19" t="n"/>
      <c r="J332" s="21" t="n"/>
      <c r="K332" s="18">
        <f>IF(D332="","",IF(D332&gt;=70,"YES","no"))</f>
        <v/>
      </c>
    </row>
    <row r="333">
      <c r="A333" s="19" t="n"/>
      <c r="B333" s="19" t="n"/>
      <c r="C333" s="19" t="n"/>
      <c r="D333" s="19" t="n"/>
      <c r="E333" s="19" t="n"/>
      <c r="F333" s="20" t="n"/>
      <c r="G333" s="19" t="n"/>
      <c r="H333" s="19" t="n"/>
      <c r="I333" s="19" t="n"/>
      <c r="J333" s="21" t="n"/>
      <c r="K333" s="18">
        <f>IF(D333="","",IF(D333&gt;=70,"YES","no"))</f>
        <v/>
      </c>
    </row>
    <row r="334">
      <c r="A334" s="19" t="n"/>
      <c r="B334" s="19" t="n"/>
      <c r="C334" s="19" t="n"/>
      <c r="D334" s="19" t="n"/>
      <c r="E334" s="19" t="n"/>
      <c r="F334" s="20" t="n"/>
      <c r="G334" s="19" t="n"/>
      <c r="H334" s="19" t="n"/>
      <c r="I334" s="19" t="n"/>
      <c r="J334" s="21" t="n"/>
      <c r="K334" s="18">
        <f>IF(D334="","",IF(D334&gt;=70,"YES","no"))</f>
        <v/>
      </c>
    </row>
    <row r="335">
      <c r="A335" s="19" t="n"/>
      <c r="B335" s="19" t="n"/>
      <c r="C335" s="19" t="n"/>
      <c r="D335" s="19" t="n"/>
      <c r="E335" s="19" t="n"/>
      <c r="F335" s="20" t="n"/>
      <c r="G335" s="19" t="n"/>
      <c r="H335" s="19" t="n"/>
      <c r="I335" s="19" t="n"/>
      <c r="J335" s="21" t="n"/>
      <c r="K335" s="18">
        <f>IF(D335="","",IF(D335&gt;=70,"YES","no"))</f>
        <v/>
      </c>
    </row>
    <row r="336">
      <c r="A336" s="19" t="n"/>
      <c r="B336" s="19" t="n"/>
      <c r="C336" s="19" t="n"/>
      <c r="D336" s="19" t="n"/>
      <c r="E336" s="19" t="n"/>
      <c r="F336" s="20" t="n"/>
      <c r="G336" s="19" t="n"/>
      <c r="H336" s="19" t="n"/>
      <c r="I336" s="19" t="n"/>
      <c r="J336" s="21" t="n"/>
      <c r="K336" s="18">
        <f>IF(D336="","",IF(D336&gt;=70,"YES","no"))</f>
        <v/>
      </c>
    </row>
    <row r="337">
      <c r="A337" s="19" t="n"/>
      <c r="B337" s="19" t="n"/>
      <c r="C337" s="19" t="n"/>
      <c r="D337" s="19" t="n"/>
      <c r="E337" s="19" t="n"/>
      <c r="F337" s="20" t="n"/>
      <c r="G337" s="19" t="n"/>
      <c r="H337" s="19" t="n"/>
      <c r="I337" s="19" t="n"/>
      <c r="J337" s="21" t="n"/>
      <c r="K337" s="18">
        <f>IF(D337="","",IF(D337&gt;=70,"YES","no"))</f>
        <v/>
      </c>
    </row>
    <row r="338">
      <c r="A338" s="19" t="n"/>
      <c r="B338" s="19" t="n"/>
      <c r="C338" s="19" t="n"/>
      <c r="D338" s="19" t="n"/>
      <c r="E338" s="19" t="n"/>
      <c r="F338" s="20" t="n"/>
      <c r="G338" s="19" t="n"/>
      <c r="H338" s="19" t="n"/>
      <c r="I338" s="19" t="n"/>
      <c r="J338" s="21" t="n"/>
      <c r="K338" s="18">
        <f>IF(D338="","",IF(D338&gt;=70,"YES","no"))</f>
        <v/>
      </c>
    </row>
    <row r="339">
      <c r="A339" s="19" t="n"/>
      <c r="B339" s="19" t="n"/>
      <c r="C339" s="19" t="n"/>
      <c r="D339" s="19" t="n"/>
      <c r="E339" s="19" t="n"/>
      <c r="F339" s="20" t="n"/>
      <c r="G339" s="19" t="n"/>
      <c r="H339" s="19" t="n"/>
      <c r="I339" s="19" t="n"/>
      <c r="J339" s="21" t="n"/>
      <c r="K339" s="18">
        <f>IF(D339="","",IF(D339&gt;=70,"YES","no"))</f>
        <v/>
      </c>
    </row>
    <row r="340">
      <c r="A340" s="19" t="n"/>
      <c r="B340" s="19" t="n"/>
      <c r="C340" s="19" t="n"/>
      <c r="D340" s="19" t="n"/>
      <c r="E340" s="19" t="n"/>
      <c r="F340" s="20" t="n"/>
      <c r="G340" s="19" t="n"/>
      <c r="H340" s="19" t="n"/>
      <c r="I340" s="19" t="n"/>
      <c r="J340" s="21" t="n"/>
      <c r="K340" s="18">
        <f>IF(D340="","",IF(D340&gt;=70,"YES","no"))</f>
        <v/>
      </c>
    </row>
    <row r="341">
      <c r="A341" s="19" t="n"/>
      <c r="B341" s="19" t="n"/>
      <c r="C341" s="19" t="n"/>
      <c r="D341" s="19" t="n"/>
      <c r="E341" s="19" t="n"/>
      <c r="F341" s="20" t="n"/>
      <c r="G341" s="19" t="n"/>
      <c r="H341" s="19" t="n"/>
      <c r="I341" s="19" t="n"/>
      <c r="J341" s="21" t="n"/>
      <c r="K341" s="18">
        <f>IF(D341="","",IF(D341&gt;=70,"YES","no"))</f>
        <v/>
      </c>
    </row>
    <row r="342">
      <c r="A342" s="19" t="n"/>
      <c r="B342" s="19" t="n"/>
      <c r="C342" s="19" t="n"/>
      <c r="D342" s="19" t="n"/>
      <c r="E342" s="19" t="n"/>
      <c r="F342" s="20" t="n"/>
      <c r="G342" s="19" t="n"/>
      <c r="H342" s="19" t="n"/>
      <c r="I342" s="19" t="n"/>
      <c r="J342" s="21" t="n"/>
      <c r="K342" s="18">
        <f>IF(D342="","",IF(D342&gt;=70,"YES","no"))</f>
        <v/>
      </c>
    </row>
    <row r="343">
      <c r="A343" s="19" t="n"/>
      <c r="B343" s="19" t="n"/>
      <c r="C343" s="19" t="n"/>
      <c r="D343" s="19" t="n"/>
      <c r="E343" s="19" t="n"/>
      <c r="F343" s="20" t="n"/>
      <c r="G343" s="19" t="n"/>
      <c r="H343" s="19" t="n"/>
      <c r="I343" s="19" t="n"/>
      <c r="J343" s="21" t="n"/>
      <c r="K343" s="18">
        <f>IF(D343="","",IF(D343&gt;=70,"YES","no"))</f>
        <v/>
      </c>
    </row>
    <row r="344">
      <c r="A344" s="19" t="n"/>
      <c r="B344" s="19" t="n"/>
      <c r="C344" s="19" t="n"/>
      <c r="D344" s="19" t="n"/>
      <c r="E344" s="19" t="n"/>
      <c r="F344" s="20" t="n"/>
      <c r="G344" s="19" t="n"/>
      <c r="H344" s="19" t="n"/>
      <c r="I344" s="19" t="n"/>
      <c r="J344" s="21" t="n"/>
      <c r="K344" s="18">
        <f>IF(D344="","",IF(D344&gt;=70,"YES","no"))</f>
        <v/>
      </c>
    </row>
    <row r="345">
      <c r="A345" s="19" t="n"/>
      <c r="B345" s="19" t="n"/>
      <c r="C345" s="19" t="n"/>
      <c r="D345" s="19" t="n"/>
      <c r="E345" s="19" t="n"/>
      <c r="F345" s="20" t="n"/>
      <c r="G345" s="19" t="n"/>
      <c r="H345" s="19" t="n"/>
      <c r="I345" s="19" t="n"/>
      <c r="J345" s="21" t="n"/>
      <c r="K345" s="18">
        <f>IF(D345="","",IF(D345&gt;=70,"YES","no"))</f>
        <v/>
      </c>
    </row>
    <row r="346">
      <c r="A346" s="19" t="n"/>
      <c r="B346" s="19" t="n"/>
      <c r="C346" s="19" t="n"/>
      <c r="D346" s="19" t="n"/>
      <c r="E346" s="19" t="n"/>
      <c r="F346" s="20" t="n"/>
      <c r="G346" s="19" t="n"/>
      <c r="H346" s="19" t="n"/>
      <c r="I346" s="19" t="n"/>
      <c r="J346" s="21" t="n"/>
      <c r="K346" s="18">
        <f>IF(D346="","",IF(D346&gt;=70,"YES","no"))</f>
        <v/>
      </c>
    </row>
    <row r="347">
      <c r="A347" s="19" t="n"/>
      <c r="B347" s="19" t="n"/>
      <c r="C347" s="19" t="n"/>
      <c r="D347" s="19" t="n"/>
      <c r="E347" s="19" t="n"/>
      <c r="F347" s="20" t="n"/>
      <c r="G347" s="19" t="n"/>
      <c r="H347" s="19" t="n"/>
      <c r="I347" s="19" t="n"/>
      <c r="J347" s="21" t="n"/>
      <c r="K347" s="18">
        <f>IF(D347="","",IF(D347&gt;=70,"YES","no"))</f>
        <v/>
      </c>
    </row>
    <row r="348">
      <c r="A348" s="19" t="n"/>
      <c r="B348" s="19" t="n"/>
      <c r="C348" s="19" t="n"/>
      <c r="D348" s="19" t="n"/>
      <c r="E348" s="19" t="n"/>
      <c r="F348" s="20" t="n"/>
      <c r="G348" s="19" t="n"/>
      <c r="H348" s="19" t="n"/>
      <c r="I348" s="19" t="n"/>
      <c r="J348" s="21" t="n"/>
      <c r="K348" s="18">
        <f>IF(D348="","",IF(D348&gt;=70,"YES","no"))</f>
        <v/>
      </c>
    </row>
    <row r="349">
      <c r="A349" s="19" t="n"/>
      <c r="B349" s="19" t="n"/>
      <c r="C349" s="19" t="n"/>
      <c r="D349" s="19" t="n"/>
      <c r="E349" s="19" t="n"/>
      <c r="F349" s="20" t="n"/>
      <c r="G349" s="19" t="n"/>
      <c r="H349" s="19" t="n"/>
      <c r="I349" s="19" t="n"/>
      <c r="J349" s="21" t="n"/>
      <c r="K349" s="18">
        <f>IF(D349="","",IF(D349&gt;=70,"YES","no"))</f>
        <v/>
      </c>
    </row>
    <row r="350">
      <c r="A350" s="19" t="n"/>
      <c r="B350" s="19" t="n"/>
      <c r="C350" s="19" t="n"/>
      <c r="D350" s="19" t="n"/>
      <c r="E350" s="19" t="n"/>
      <c r="F350" s="20" t="n"/>
      <c r="G350" s="19" t="n"/>
      <c r="H350" s="19" t="n"/>
      <c r="I350" s="19" t="n"/>
      <c r="J350" s="21" t="n"/>
      <c r="K350" s="18">
        <f>IF(D350="","",IF(D350&gt;=70,"YES","no"))</f>
        <v/>
      </c>
    </row>
    <row r="351">
      <c r="A351" s="19" t="n"/>
      <c r="B351" s="19" t="n"/>
      <c r="C351" s="19" t="n"/>
      <c r="D351" s="19" t="n"/>
      <c r="E351" s="19" t="n"/>
      <c r="F351" s="20" t="n"/>
      <c r="G351" s="19" t="n"/>
      <c r="H351" s="19" t="n"/>
      <c r="I351" s="19" t="n"/>
      <c r="J351" s="21" t="n"/>
      <c r="K351" s="18">
        <f>IF(D351="","",IF(D351&gt;=70,"YES","no"))</f>
        <v/>
      </c>
    </row>
    <row r="352">
      <c r="A352" s="19" t="n"/>
      <c r="B352" s="19" t="n"/>
      <c r="C352" s="19" t="n"/>
      <c r="D352" s="19" t="n"/>
      <c r="E352" s="19" t="n"/>
      <c r="F352" s="20" t="n"/>
      <c r="G352" s="19" t="n"/>
      <c r="H352" s="19" t="n"/>
      <c r="I352" s="19" t="n"/>
      <c r="J352" s="21" t="n"/>
      <c r="K352" s="18">
        <f>IF(D352="","",IF(D352&gt;=70,"YES","no"))</f>
        <v/>
      </c>
    </row>
    <row r="353">
      <c r="A353" s="19" t="n"/>
      <c r="B353" s="19" t="n"/>
      <c r="C353" s="19" t="n"/>
      <c r="D353" s="19" t="n"/>
      <c r="E353" s="19" t="n"/>
      <c r="F353" s="20" t="n"/>
      <c r="G353" s="19" t="n"/>
      <c r="H353" s="19" t="n"/>
      <c r="I353" s="19" t="n"/>
      <c r="J353" s="21" t="n"/>
      <c r="K353" s="18">
        <f>IF(D353="","",IF(D353&gt;=70,"YES","no"))</f>
        <v/>
      </c>
    </row>
    <row r="354">
      <c r="A354" s="19" t="n"/>
      <c r="B354" s="19" t="n"/>
      <c r="C354" s="19" t="n"/>
      <c r="D354" s="19" t="n"/>
      <c r="E354" s="19" t="n"/>
      <c r="F354" s="20" t="n"/>
      <c r="G354" s="19" t="n"/>
      <c r="H354" s="19" t="n"/>
      <c r="I354" s="19" t="n"/>
      <c r="J354" s="21" t="n"/>
      <c r="K354" s="18">
        <f>IF(D354="","",IF(D354&gt;=70,"YES","no"))</f>
        <v/>
      </c>
    </row>
    <row r="355">
      <c r="A355" s="19" t="n"/>
      <c r="B355" s="19" t="n"/>
      <c r="C355" s="19" t="n"/>
      <c r="D355" s="19" t="n"/>
      <c r="E355" s="19" t="n"/>
      <c r="F355" s="20" t="n"/>
      <c r="G355" s="19" t="n"/>
      <c r="H355" s="19" t="n"/>
      <c r="I355" s="19" t="n"/>
      <c r="J355" s="21" t="n"/>
      <c r="K355" s="18">
        <f>IF(D355="","",IF(D355&gt;=70,"YES","no"))</f>
        <v/>
      </c>
    </row>
    <row r="356">
      <c r="A356" s="19" t="n"/>
      <c r="B356" s="19" t="n"/>
      <c r="C356" s="19" t="n"/>
      <c r="D356" s="19" t="n"/>
      <c r="E356" s="19" t="n"/>
      <c r="F356" s="20" t="n"/>
      <c r="G356" s="19" t="n"/>
      <c r="H356" s="19" t="n"/>
      <c r="I356" s="19" t="n"/>
      <c r="J356" s="21" t="n"/>
      <c r="K356" s="18">
        <f>IF(D356="","",IF(D356&gt;=70,"YES","no"))</f>
        <v/>
      </c>
    </row>
    <row r="357">
      <c r="A357" s="19" t="n"/>
      <c r="B357" s="19" t="n"/>
      <c r="C357" s="19" t="n"/>
      <c r="D357" s="19" t="n"/>
      <c r="E357" s="19" t="n"/>
      <c r="F357" s="20" t="n"/>
      <c r="G357" s="19" t="n"/>
      <c r="H357" s="19" t="n"/>
      <c r="I357" s="19" t="n"/>
      <c r="J357" s="21" t="n"/>
      <c r="K357" s="18">
        <f>IF(D357="","",IF(D357&gt;=70,"YES","no"))</f>
        <v/>
      </c>
    </row>
    <row r="358">
      <c r="A358" s="19" t="n"/>
      <c r="B358" s="19" t="n"/>
      <c r="C358" s="19" t="n"/>
      <c r="D358" s="19" t="n"/>
      <c r="E358" s="19" t="n"/>
      <c r="F358" s="20" t="n"/>
      <c r="G358" s="19" t="n"/>
      <c r="H358" s="19" t="n"/>
      <c r="I358" s="19" t="n"/>
      <c r="J358" s="21" t="n"/>
      <c r="K358" s="18">
        <f>IF(D358="","",IF(D358&gt;=70,"YES","no"))</f>
        <v/>
      </c>
    </row>
    <row r="359">
      <c r="A359" s="19" t="n"/>
      <c r="B359" s="19" t="n"/>
      <c r="C359" s="19" t="n"/>
      <c r="D359" s="19" t="n"/>
      <c r="E359" s="19" t="n"/>
      <c r="F359" s="20" t="n"/>
      <c r="G359" s="19" t="n"/>
      <c r="H359" s="19" t="n"/>
      <c r="I359" s="19" t="n"/>
      <c r="J359" s="21" t="n"/>
      <c r="K359" s="18">
        <f>IF(D359="","",IF(D359&gt;=70,"YES","no"))</f>
        <v/>
      </c>
    </row>
    <row r="360">
      <c r="A360" s="19" t="n"/>
      <c r="B360" s="19" t="n"/>
      <c r="C360" s="19" t="n"/>
      <c r="D360" s="19" t="n"/>
      <c r="E360" s="19" t="n"/>
      <c r="F360" s="20" t="n"/>
      <c r="G360" s="19" t="n"/>
      <c r="H360" s="19" t="n"/>
      <c r="I360" s="19" t="n"/>
      <c r="J360" s="21" t="n"/>
      <c r="K360" s="18">
        <f>IF(D360="","",IF(D360&gt;=70,"YES","no"))</f>
        <v/>
      </c>
    </row>
    <row r="361">
      <c r="A361" s="19" t="n"/>
      <c r="B361" s="19" t="n"/>
      <c r="C361" s="19" t="n"/>
      <c r="D361" s="19" t="n"/>
      <c r="E361" s="19" t="n"/>
      <c r="F361" s="20" t="n"/>
      <c r="G361" s="19" t="n"/>
      <c r="H361" s="19" t="n"/>
      <c r="I361" s="19" t="n"/>
      <c r="J361" s="21" t="n"/>
      <c r="K361" s="18">
        <f>IF(D361="","",IF(D361&gt;=70,"YES","no"))</f>
        <v/>
      </c>
    </row>
    <row r="362">
      <c r="A362" s="19" t="n"/>
      <c r="B362" s="19" t="n"/>
      <c r="C362" s="19" t="n"/>
      <c r="D362" s="19" t="n"/>
      <c r="E362" s="19" t="n"/>
      <c r="F362" s="20" t="n"/>
      <c r="G362" s="19" t="n"/>
      <c r="H362" s="19" t="n"/>
      <c r="I362" s="19" t="n"/>
      <c r="J362" s="21" t="n"/>
      <c r="K362" s="18">
        <f>IF(D362="","",IF(D362&gt;=70,"YES","no"))</f>
        <v/>
      </c>
    </row>
    <row r="363">
      <c r="A363" s="19" t="n"/>
      <c r="B363" s="19" t="n"/>
      <c r="C363" s="19" t="n"/>
      <c r="D363" s="19" t="n"/>
      <c r="E363" s="19" t="n"/>
      <c r="F363" s="20" t="n"/>
      <c r="G363" s="19" t="n"/>
      <c r="H363" s="19" t="n"/>
      <c r="I363" s="19" t="n"/>
      <c r="J363" s="21" t="n"/>
      <c r="K363" s="18">
        <f>IF(D363="","",IF(D363&gt;=70,"YES","no"))</f>
        <v/>
      </c>
    </row>
    <row r="364">
      <c r="A364" s="19" t="n"/>
      <c r="B364" s="19" t="n"/>
      <c r="C364" s="19" t="n"/>
      <c r="D364" s="19" t="n"/>
      <c r="E364" s="19" t="n"/>
      <c r="F364" s="20" t="n"/>
      <c r="G364" s="19" t="n"/>
      <c r="H364" s="19" t="n"/>
      <c r="I364" s="19" t="n"/>
      <c r="J364" s="21" t="n"/>
      <c r="K364" s="18">
        <f>IF(D364="","",IF(D364&gt;=70,"YES","no"))</f>
        <v/>
      </c>
    </row>
    <row r="365">
      <c r="A365" s="19" t="n"/>
      <c r="B365" s="19" t="n"/>
      <c r="C365" s="19" t="n"/>
      <c r="D365" s="19" t="n"/>
      <c r="E365" s="19" t="n"/>
      <c r="F365" s="20" t="n"/>
      <c r="G365" s="19" t="n"/>
      <c r="H365" s="19" t="n"/>
      <c r="I365" s="19" t="n"/>
      <c r="J365" s="21" t="n"/>
      <c r="K365" s="18">
        <f>IF(D365="","",IF(D365&gt;=70,"YES","no"))</f>
        <v/>
      </c>
    </row>
    <row r="366">
      <c r="A366" s="19" t="n"/>
      <c r="B366" s="19" t="n"/>
      <c r="C366" s="19" t="n"/>
      <c r="D366" s="19" t="n"/>
      <c r="E366" s="19" t="n"/>
      <c r="F366" s="20" t="n"/>
      <c r="G366" s="19" t="n"/>
      <c r="H366" s="19" t="n"/>
      <c r="I366" s="19" t="n"/>
      <c r="J366" s="21" t="n"/>
      <c r="K366" s="18">
        <f>IF(D366="","",IF(D366&gt;=70,"YES","no"))</f>
        <v/>
      </c>
    </row>
    <row r="367">
      <c r="A367" s="19" t="n"/>
      <c r="B367" s="19" t="n"/>
      <c r="C367" s="19" t="n"/>
      <c r="D367" s="19" t="n"/>
      <c r="E367" s="19" t="n"/>
      <c r="F367" s="20" t="n"/>
      <c r="G367" s="19" t="n"/>
      <c r="H367" s="19" t="n"/>
      <c r="I367" s="19" t="n"/>
      <c r="J367" s="21" t="n"/>
      <c r="K367" s="18">
        <f>IF(D367="","",IF(D367&gt;=70,"YES","no"))</f>
        <v/>
      </c>
    </row>
    <row r="368">
      <c r="A368" s="19" t="n"/>
      <c r="B368" s="19" t="n"/>
      <c r="C368" s="19" t="n"/>
      <c r="D368" s="19" t="n"/>
      <c r="E368" s="19" t="n"/>
      <c r="F368" s="20" t="n"/>
      <c r="G368" s="19" t="n"/>
      <c r="H368" s="19" t="n"/>
      <c r="I368" s="19" t="n"/>
      <c r="J368" s="21" t="n"/>
      <c r="K368" s="18">
        <f>IF(D368="","",IF(D368&gt;=70,"YES","no"))</f>
        <v/>
      </c>
    </row>
    <row r="369">
      <c r="A369" s="19" t="n"/>
      <c r="B369" s="19" t="n"/>
      <c r="C369" s="19" t="n"/>
      <c r="D369" s="19" t="n"/>
      <c r="E369" s="19" t="n"/>
      <c r="F369" s="20" t="n"/>
      <c r="G369" s="19" t="n"/>
      <c r="H369" s="19" t="n"/>
      <c r="I369" s="19" t="n"/>
      <c r="J369" s="21" t="n"/>
      <c r="K369" s="18">
        <f>IF(D369="","",IF(D369&gt;=70,"YES","no"))</f>
        <v/>
      </c>
    </row>
    <row r="370">
      <c r="A370" s="19" t="n"/>
      <c r="B370" s="19" t="n"/>
      <c r="C370" s="19" t="n"/>
      <c r="D370" s="19" t="n"/>
      <c r="E370" s="19" t="n"/>
      <c r="F370" s="20" t="n"/>
      <c r="G370" s="19" t="n"/>
      <c r="H370" s="19" t="n"/>
      <c r="I370" s="19" t="n"/>
      <c r="J370" s="21" t="n"/>
      <c r="K370" s="18">
        <f>IF(D370="","",IF(D370&gt;=70,"YES","no"))</f>
        <v/>
      </c>
    </row>
    <row r="371">
      <c r="A371" s="19" t="n"/>
      <c r="B371" s="19" t="n"/>
      <c r="C371" s="19" t="n"/>
      <c r="D371" s="19" t="n"/>
      <c r="E371" s="19" t="n"/>
      <c r="F371" s="20" t="n"/>
      <c r="G371" s="19" t="n"/>
      <c r="H371" s="19" t="n"/>
      <c r="I371" s="19" t="n"/>
      <c r="J371" s="21" t="n"/>
      <c r="K371" s="18">
        <f>IF(D371="","",IF(D371&gt;=70,"YES","no"))</f>
        <v/>
      </c>
    </row>
    <row r="372">
      <c r="A372" s="19" t="n"/>
      <c r="B372" s="19" t="n"/>
      <c r="C372" s="19" t="n"/>
      <c r="D372" s="19" t="n"/>
      <c r="E372" s="19" t="n"/>
      <c r="F372" s="20" t="n"/>
      <c r="G372" s="19" t="n"/>
      <c r="H372" s="19" t="n"/>
      <c r="I372" s="19" t="n"/>
      <c r="J372" s="21" t="n"/>
      <c r="K372" s="18">
        <f>IF(D372="","",IF(D372&gt;=70,"YES","no"))</f>
        <v/>
      </c>
    </row>
    <row r="373">
      <c r="A373" s="19" t="n"/>
      <c r="B373" s="19" t="n"/>
      <c r="C373" s="19" t="n"/>
      <c r="D373" s="19" t="n"/>
      <c r="E373" s="19" t="n"/>
      <c r="F373" s="20" t="n"/>
      <c r="G373" s="19" t="n"/>
      <c r="H373" s="19" t="n"/>
      <c r="I373" s="19" t="n"/>
      <c r="J373" s="21" t="n"/>
      <c r="K373" s="18">
        <f>IF(D373="","",IF(D373&gt;=70,"YES","no"))</f>
        <v/>
      </c>
    </row>
    <row r="374">
      <c r="A374" s="19" t="n"/>
      <c r="B374" s="19" t="n"/>
      <c r="C374" s="19" t="n"/>
      <c r="D374" s="19" t="n"/>
      <c r="E374" s="19" t="n"/>
      <c r="F374" s="20" t="n"/>
      <c r="G374" s="19" t="n"/>
      <c r="H374" s="19" t="n"/>
      <c r="I374" s="19" t="n"/>
      <c r="J374" s="21" t="n"/>
      <c r="K374" s="18">
        <f>IF(D374="","",IF(D374&gt;=70,"YES","no"))</f>
        <v/>
      </c>
    </row>
    <row r="375">
      <c r="A375" s="19" t="n"/>
      <c r="B375" s="19" t="n"/>
      <c r="C375" s="19" t="n"/>
      <c r="D375" s="19" t="n"/>
      <c r="E375" s="19" t="n"/>
      <c r="F375" s="20" t="n"/>
      <c r="G375" s="19" t="n"/>
      <c r="H375" s="19" t="n"/>
      <c r="I375" s="19" t="n"/>
      <c r="J375" s="21" t="n"/>
      <c r="K375" s="18">
        <f>IF(D375="","",IF(D375&gt;=70,"YES","no"))</f>
        <v/>
      </c>
    </row>
    <row r="376">
      <c r="A376" s="19" t="n"/>
      <c r="B376" s="19" t="n"/>
      <c r="C376" s="19" t="n"/>
      <c r="D376" s="19" t="n"/>
      <c r="E376" s="19" t="n"/>
      <c r="F376" s="20" t="n"/>
      <c r="G376" s="19" t="n"/>
      <c r="H376" s="19" t="n"/>
      <c r="I376" s="19" t="n"/>
      <c r="J376" s="21" t="n"/>
      <c r="K376" s="18">
        <f>IF(D376="","",IF(D376&gt;=70,"YES","no"))</f>
        <v/>
      </c>
    </row>
    <row r="377">
      <c r="A377" s="19" t="n"/>
      <c r="B377" s="19" t="n"/>
      <c r="C377" s="19" t="n"/>
      <c r="D377" s="19" t="n"/>
      <c r="E377" s="19" t="n"/>
      <c r="F377" s="20" t="n"/>
      <c r="G377" s="19" t="n"/>
      <c r="H377" s="19" t="n"/>
      <c r="I377" s="19" t="n"/>
      <c r="J377" s="21" t="n"/>
      <c r="K377" s="18">
        <f>IF(D377="","",IF(D377&gt;=70,"YES","no"))</f>
        <v/>
      </c>
    </row>
    <row r="378">
      <c r="A378" s="19" t="n"/>
      <c r="B378" s="19" t="n"/>
      <c r="C378" s="19" t="n"/>
      <c r="D378" s="19" t="n"/>
      <c r="E378" s="19" t="n"/>
      <c r="F378" s="20" t="n"/>
      <c r="G378" s="19" t="n"/>
      <c r="H378" s="19" t="n"/>
      <c r="I378" s="19" t="n"/>
      <c r="J378" s="21" t="n"/>
      <c r="K378" s="18">
        <f>IF(D378="","",IF(D378&gt;=70,"YES","no"))</f>
        <v/>
      </c>
    </row>
    <row r="379">
      <c r="A379" s="19" t="n"/>
      <c r="B379" s="19" t="n"/>
      <c r="C379" s="19" t="n"/>
      <c r="D379" s="19" t="n"/>
      <c r="E379" s="19" t="n"/>
      <c r="F379" s="20" t="n"/>
      <c r="G379" s="19" t="n"/>
      <c r="H379" s="19" t="n"/>
      <c r="I379" s="19" t="n"/>
      <c r="J379" s="21" t="n"/>
      <c r="K379" s="18">
        <f>IF(D379="","",IF(D379&gt;=70,"YES","no"))</f>
        <v/>
      </c>
    </row>
    <row r="380">
      <c r="A380" s="19" t="n"/>
      <c r="B380" s="19" t="n"/>
      <c r="C380" s="19" t="n"/>
      <c r="D380" s="19" t="n"/>
      <c r="E380" s="19" t="n"/>
      <c r="F380" s="20" t="n"/>
      <c r="G380" s="19" t="n"/>
      <c r="H380" s="19" t="n"/>
      <c r="I380" s="19" t="n"/>
      <c r="J380" s="21" t="n"/>
      <c r="K380" s="18">
        <f>IF(D380="","",IF(D380&gt;=70,"YES","no"))</f>
        <v/>
      </c>
    </row>
    <row r="381">
      <c r="A381" s="19" t="n"/>
      <c r="B381" s="19" t="n"/>
      <c r="C381" s="19" t="n"/>
      <c r="D381" s="19" t="n"/>
      <c r="E381" s="19" t="n"/>
      <c r="F381" s="20" t="n"/>
      <c r="G381" s="19" t="n"/>
      <c r="H381" s="19" t="n"/>
      <c r="I381" s="19" t="n"/>
      <c r="J381" s="21" t="n"/>
      <c r="K381" s="18">
        <f>IF(D381="","",IF(D381&gt;=70,"YES","no"))</f>
        <v/>
      </c>
    </row>
    <row r="382">
      <c r="A382" s="19" t="n"/>
      <c r="B382" s="19" t="n"/>
      <c r="C382" s="19" t="n"/>
      <c r="D382" s="19" t="n"/>
      <c r="E382" s="19" t="n"/>
      <c r="F382" s="20" t="n"/>
      <c r="G382" s="19" t="n"/>
      <c r="H382" s="19" t="n"/>
      <c r="I382" s="19" t="n"/>
      <c r="J382" s="21" t="n"/>
      <c r="K382" s="18">
        <f>IF(D382="","",IF(D382&gt;=70,"YES","no"))</f>
        <v/>
      </c>
    </row>
    <row r="383">
      <c r="A383" s="19" t="n"/>
      <c r="B383" s="19" t="n"/>
      <c r="C383" s="19" t="n"/>
      <c r="D383" s="19" t="n"/>
      <c r="E383" s="19" t="n"/>
      <c r="F383" s="20" t="n"/>
      <c r="G383" s="19" t="n"/>
      <c r="H383" s="19" t="n"/>
      <c r="I383" s="19" t="n"/>
      <c r="J383" s="21" t="n"/>
      <c r="K383" s="18">
        <f>IF(D383="","",IF(D383&gt;=70,"YES","no"))</f>
        <v/>
      </c>
    </row>
    <row r="384">
      <c r="A384" s="19" t="n"/>
      <c r="B384" s="19" t="n"/>
      <c r="C384" s="19" t="n"/>
      <c r="D384" s="19" t="n"/>
      <c r="E384" s="19" t="n"/>
      <c r="F384" s="20" t="n"/>
      <c r="G384" s="19" t="n"/>
      <c r="H384" s="19" t="n"/>
      <c r="I384" s="19" t="n"/>
      <c r="J384" s="21" t="n"/>
      <c r="K384" s="18">
        <f>IF(D384="","",IF(D384&gt;=70,"YES","no"))</f>
        <v/>
      </c>
    </row>
    <row r="385">
      <c r="A385" s="19" t="n"/>
      <c r="B385" s="19" t="n"/>
      <c r="C385" s="19" t="n"/>
      <c r="D385" s="19" t="n"/>
      <c r="E385" s="19" t="n"/>
      <c r="F385" s="20" t="n"/>
      <c r="G385" s="19" t="n"/>
      <c r="H385" s="19" t="n"/>
      <c r="I385" s="19" t="n"/>
      <c r="J385" s="21" t="n"/>
      <c r="K385" s="18">
        <f>IF(D385="","",IF(D385&gt;=70,"YES","no"))</f>
        <v/>
      </c>
    </row>
    <row r="386">
      <c r="A386" s="19" t="n"/>
      <c r="B386" s="19" t="n"/>
      <c r="C386" s="19" t="n"/>
      <c r="D386" s="19" t="n"/>
      <c r="E386" s="19" t="n"/>
      <c r="F386" s="20" t="n"/>
      <c r="G386" s="19" t="n"/>
      <c r="H386" s="19" t="n"/>
      <c r="I386" s="19" t="n"/>
      <c r="J386" s="21" t="n"/>
      <c r="K386" s="18">
        <f>IF(D386="","",IF(D386&gt;=70,"YES","no"))</f>
        <v/>
      </c>
    </row>
    <row r="387">
      <c r="A387" s="19" t="n"/>
      <c r="B387" s="19" t="n"/>
      <c r="C387" s="19" t="n"/>
      <c r="D387" s="19" t="n"/>
      <c r="E387" s="19" t="n"/>
      <c r="F387" s="20" t="n"/>
      <c r="G387" s="19" t="n"/>
      <c r="H387" s="19" t="n"/>
      <c r="I387" s="19" t="n"/>
      <c r="J387" s="21" t="n"/>
      <c r="K387" s="18">
        <f>IF(D387="","",IF(D387&gt;=70,"YES","no"))</f>
        <v/>
      </c>
    </row>
    <row r="388">
      <c r="A388" s="19" t="n"/>
      <c r="B388" s="19" t="n"/>
      <c r="C388" s="19" t="n"/>
      <c r="D388" s="19" t="n"/>
      <c r="E388" s="19" t="n"/>
      <c r="F388" s="20" t="n"/>
      <c r="G388" s="19" t="n"/>
      <c r="H388" s="19" t="n"/>
      <c r="I388" s="19" t="n"/>
      <c r="J388" s="21" t="n"/>
      <c r="K388" s="18">
        <f>IF(D388="","",IF(D388&gt;=70,"YES","no"))</f>
        <v/>
      </c>
    </row>
    <row r="389">
      <c r="A389" s="19" t="n"/>
      <c r="B389" s="19" t="n"/>
      <c r="C389" s="19" t="n"/>
      <c r="D389" s="19" t="n"/>
      <c r="E389" s="19" t="n"/>
      <c r="F389" s="20" t="n"/>
      <c r="G389" s="19" t="n"/>
      <c r="H389" s="19" t="n"/>
      <c r="I389" s="19" t="n"/>
      <c r="J389" s="21" t="n"/>
      <c r="K389" s="18">
        <f>IF(D389="","",IF(D389&gt;=70,"YES","no"))</f>
        <v/>
      </c>
    </row>
    <row r="390">
      <c r="A390" s="19" t="n"/>
      <c r="B390" s="19" t="n"/>
      <c r="C390" s="19" t="n"/>
      <c r="D390" s="19" t="n"/>
      <c r="E390" s="19" t="n"/>
      <c r="F390" s="20" t="n"/>
      <c r="G390" s="19" t="n"/>
      <c r="H390" s="19" t="n"/>
      <c r="I390" s="19" t="n"/>
      <c r="J390" s="21" t="n"/>
      <c r="K390" s="18">
        <f>IF(D390="","",IF(D390&gt;=70,"YES","no"))</f>
        <v/>
      </c>
    </row>
    <row r="391">
      <c r="A391" s="19" t="n"/>
      <c r="B391" s="19" t="n"/>
      <c r="C391" s="19" t="n"/>
      <c r="D391" s="19" t="n"/>
      <c r="E391" s="19" t="n"/>
      <c r="F391" s="20" t="n"/>
      <c r="G391" s="19" t="n"/>
      <c r="H391" s="19" t="n"/>
      <c r="I391" s="19" t="n"/>
      <c r="J391" s="21" t="n"/>
      <c r="K391" s="18">
        <f>IF(D391="","",IF(D391&gt;=70,"YES","no"))</f>
        <v/>
      </c>
    </row>
    <row r="392">
      <c r="A392" s="19" t="n"/>
      <c r="B392" s="19" t="n"/>
      <c r="C392" s="19" t="n"/>
      <c r="D392" s="19" t="n"/>
      <c r="E392" s="19" t="n"/>
      <c r="F392" s="20" t="n"/>
      <c r="G392" s="19" t="n"/>
      <c r="H392" s="19" t="n"/>
      <c r="I392" s="19" t="n"/>
      <c r="J392" s="21" t="n"/>
      <c r="K392" s="18">
        <f>IF(D392="","",IF(D392&gt;=70,"YES","no"))</f>
        <v/>
      </c>
    </row>
    <row r="393">
      <c r="A393" s="19" t="n"/>
      <c r="B393" s="19" t="n"/>
      <c r="C393" s="19" t="n"/>
      <c r="D393" s="19" t="n"/>
      <c r="E393" s="19" t="n"/>
      <c r="F393" s="20" t="n"/>
      <c r="G393" s="19" t="n"/>
      <c r="H393" s="19" t="n"/>
      <c r="I393" s="19" t="n"/>
      <c r="J393" s="21" t="n"/>
      <c r="K393" s="18">
        <f>IF(D393="","",IF(D393&gt;=70,"YES","no"))</f>
        <v/>
      </c>
    </row>
    <row r="394">
      <c r="A394" s="19" t="n"/>
      <c r="B394" s="19" t="n"/>
      <c r="C394" s="19" t="n"/>
      <c r="D394" s="19" t="n"/>
      <c r="E394" s="19" t="n"/>
      <c r="F394" s="20" t="n"/>
      <c r="G394" s="19" t="n"/>
      <c r="H394" s="19" t="n"/>
      <c r="I394" s="19" t="n"/>
      <c r="J394" s="21" t="n"/>
      <c r="K394" s="18">
        <f>IF(D394="","",IF(D394&gt;=70,"YES","no"))</f>
        <v/>
      </c>
    </row>
    <row r="395">
      <c r="A395" s="19" t="n"/>
      <c r="B395" s="19" t="n"/>
      <c r="C395" s="19" t="n"/>
      <c r="D395" s="19" t="n"/>
      <c r="E395" s="19" t="n"/>
      <c r="F395" s="20" t="n"/>
      <c r="G395" s="19" t="n"/>
      <c r="H395" s="19" t="n"/>
      <c r="I395" s="19" t="n"/>
      <c r="J395" s="21" t="n"/>
      <c r="K395" s="18">
        <f>IF(D395="","",IF(D395&gt;=70,"YES","no"))</f>
        <v/>
      </c>
    </row>
    <row r="396">
      <c r="A396" s="19" t="n"/>
      <c r="B396" s="19" t="n"/>
      <c r="C396" s="19" t="n"/>
      <c r="D396" s="19" t="n"/>
      <c r="E396" s="19" t="n"/>
      <c r="F396" s="20" t="n"/>
      <c r="G396" s="19" t="n"/>
      <c r="H396" s="19" t="n"/>
      <c r="I396" s="19" t="n"/>
      <c r="J396" s="21" t="n"/>
      <c r="K396" s="18">
        <f>IF(D396="","",IF(D396&gt;=70,"YES","no"))</f>
        <v/>
      </c>
    </row>
    <row r="397">
      <c r="A397" s="19" t="n"/>
      <c r="B397" s="19" t="n"/>
      <c r="C397" s="19" t="n"/>
      <c r="D397" s="19" t="n"/>
      <c r="E397" s="19" t="n"/>
      <c r="F397" s="20" t="n"/>
      <c r="G397" s="19" t="n"/>
      <c r="H397" s="19" t="n"/>
      <c r="I397" s="19" t="n"/>
      <c r="J397" s="21" t="n"/>
      <c r="K397" s="18">
        <f>IF(D397="","",IF(D397&gt;=70,"YES","no"))</f>
        <v/>
      </c>
    </row>
    <row r="398">
      <c r="A398" s="19" t="n"/>
      <c r="B398" s="19" t="n"/>
      <c r="C398" s="19" t="n"/>
      <c r="D398" s="19" t="n"/>
      <c r="E398" s="19" t="n"/>
      <c r="F398" s="20" t="n"/>
      <c r="G398" s="19" t="n"/>
      <c r="H398" s="19" t="n"/>
      <c r="I398" s="19" t="n"/>
      <c r="J398" s="21" t="n"/>
      <c r="K398" s="18">
        <f>IF(D398="","",IF(D398&gt;=70,"YES","no"))</f>
        <v/>
      </c>
    </row>
    <row r="399">
      <c r="A399" s="19" t="n"/>
      <c r="B399" s="19" t="n"/>
      <c r="C399" s="19" t="n"/>
      <c r="D399" s="19" t="n"/>
      <c r="E399" s="19" t="n"/>
      <c r="F399" s="20" t="n"/>
      <c r="G399" s="19" t="n"/>
      <c r="H399" s="19" t="n"/>
      <c r="I399" s="19" t="n"/>
      <c r="J399" s="21" t="n"/>
      <c r="K399" s="18">
        <f>IF(D399="","",IF(D399&gt;=70,"YES","no"))</f>
        <v/>
      </c>
    </row>
    <row r="400">
      <c r="A400" s="19" t="n"/>
      <c r="B400" s="19" t="n"/>
      <c r="C400" s="19" t="n"/>
      <c r="D400" s="19" t="n"/>
      <c r="E400" s="19" t="n"/>
      <c r="F400" s="20" t="n"/>
      <c r="G400" s="19" t="n"/>
      <c r="H400" s="19" t="n"/>
      <c r="I400" s="19" t="n"/>
      <c r="J400" s="21" t="n"/>
      <c r="K400" s="18">
        <f>IF(D400="","",IF(D400&gt;=70,"YES","no"))</f>
        <v/>
      </c>
    </row>
    <row r="401">
      <c r="A401" s="19" t="n"/>
      <c r="B401" s="19" t="n"/>
      <c r="C401" s="19" t="n"/>
      <c r="D401" s="19" t="n"/>
      <c r="E401" s="19" t="n"/>
      <c r="F401" s="20" t="n"/>
      <c r="G401" s="19" t="n"/>
      <c r="H401" s="19" t="n"/>
      <c r="I401" s="19" t="n"/>
      <c r="J401" s="21" t="n"/>
      <c r="K401" s="18">
        <f>IF(D401="","",IF(D401&gt;=70,"YES","no"))</f>
        <v/>
      </c>
    </row>
    <row r="402">
      <c r="A402" s="19" t="n"/>
      <c r="B402" s="19" t="n"/>
      <c r="C402" s="19" t="n"/>
      <c r="D402" s="19" t="n"/>
      <c r="E402" s="19" t="n"/>
      <c r="F402" s="20" t="n"/>
      <c r="G402" s="19" t="n"/>
      <c r="H402" s="19" t="n"/>
      <c r="I402" s="19" t="n"/>
      <c r="J402" s="21" t="n"/>
      <c r="K402" s="18">
        <f>IF(D402="","",IF(D402&gt;=70,"YES","no"))</f>
        <v/>
      </c>
    </row>
    <row r="403">
      <c r="A403" s="19" t="n"/>
      <c r="B403" s="19" t="n"/>
      <c r="C403" s="19" t="n"/>
      <c r="D403" s="19" t="n"/>
      <c r="E403" s="19" t="n"/>
      <c r="F403" s="20" t="n"/>
      <c r="G403" s="19" t="n"/>
      <c r="H403" s="19" t="n"/>
      <c r="I403" s="19" t="n"/>
      <c r="J403" s="21" t="n"/>
      <c r="K403" s="18">
        <f>IF(D403="","",IF(D403&gt;=70,"YES","no"))</f>
        <v/>
      </c>
    </row>
    <row r="404">
      <c r="A404" s="19" t="n"/>
      <c r="B404" s="19" t="n"/>
      <c r="C404" s="19" t="n"/>
      <c r="D404" s="19" t="n"/>
      <c r="E404" s="19" t="n"/>
      <c r="F404" s="20" t="n"/>
      <c r="G404" s="19" t="n"/>
      <c r="H404" s="19" t="n"/>
      <c r="I404" s="19" t="n"/>
      <c r="J404" s="21" t="n"/>
      <c r="K404" s="18">
        <f>IF(D404="","",IF(D404&gt;=70,"YES","no"))</f>
        <v/>
      </c>
    </row>
    <row r="405">
      <c r="A405" s="19" t="n"/>
      <c r="B405" s="19" t="n"/>
      <c r="C405" s="19" t="n"/>
      <c r="D405" s="19" t="n"/>
      <c r="E405" s="19" t="n"/>
      <c r="F405" s="20" t="n"/>
      <c r="G405" s="19" t="n"/>
      <c r="H405" s="19" t="n"/>
      <c r="I405" s="19" t="n"/>
      <c r="J405" s="21" t="n"/>
      <c r="K405" s="18">
        <f>IF(D405="","",IF(D405&gt;=70,"YES","no"))</f>
        <v/>
      </c>
    </row>
    <row r="406">
      <c r="A406" s="19" t="n"/>
      <c r="B406" s="19" t="n"/>
      <c r="C406" s="19" t="n"/>
      <c r="D406" s="19" t="n"/>
      <c r="E406" s="19" t="n"/>
      <c r="F406" s="20" t="n"/>
      <c r="G406" s="19" t="n"/>
      <c r="H406" s="19" t="n"/>
      <c r="I406" s="19" t="n"/>
      <c r="J406" s="21" t="n"/>
      <c r="K406" s="18">
        <f>IF(D406="","",IF(D406&gt;=70,"YES","no"))</f>
        <v/>
      </c>
    </row>
    <row r="407">
      <c r="A407" s="19" t="n"/>
      <c r="B407" s="19" t="n"/>
      <c r="C407" s="19" t="n"/>
      <c r="D407" s="19" t="n"/>
      <c r="E407" s="19" t="n"/>
      <c r="F407" s="20" t="n"/>
      <c r="G407" s="19" t="n"/>
      <c r="H407" s="19" t="n"/>
      <c r="I407" s="19" t="n"/>
      <c r="J407" s="21" t="n"/>
      <c r="K407" s="18">
        <f>IF(D407="","",IF(D407&gt;=70,"YES","no"))</f>
        <v/>
      </c>
    </row>
    <row r="408">
      <c r="A408" s="19" t="n"/>
      <c r="B408" s="19" t="n"/>
      <c r="C408" s="19" t="n"/>
      <c r="D408" s="19" t="n"/>
      <c r="E408" s="19" t="n"/>
      <c r="F408" s="20" t="n"/>
      <c r="G408" s="19" t="n"/>
      <c r="H408" s="19" t="n"/>
      <c r="I408" s="19" t="n"/>
      <c r="J408" s="21" t="n"/>
      <c r="K408" s="18">
        <f>IF(D408="","",IF(D408&gt;=70,"YES","no"))</f>
        <v/>
      </c>
    </row>
    <row r="409">
      <c r="A409" s="19" t="n"/>
      <c r="B409" s="19" t="n"/>
      <c r="C409" s="19" t="n"/>
      <c r="D409" s="19" t="n"/>
      <c r="E409" s="19" t="n"/>
      <c r="F409" s="20" t="n"/>
      <c r="G409" s="19" t="n"/>
      <c r="H409" s="19" t="n"/>
      <c r="I409" s="19" t="n"/>
      <c r="J409" s="21" t="n"/>
      <c r="K409" s="18">
        <f>IF(D409="","",IF(D409&gt;=70,"YES","no"))</f>
        <v/>
      </c>
    </row>
    <row r="410">
      <c r="A410" s="19" t="n"/>
      <c r="B410" s="19" t="n"/>
      <c r="C410" s="19" t="n"/>
      <c r="D410" s="19" t="n"/>
      <c r="E410" s="19" t="n"/>
      <c r="F410" s="20" t="n"/>
      <c r="G410" s="19" t="n"/>
      <c r="H410" s="19" t="n"/>
      <c r="I410" s="19" t="n"/>
      <c r="J410" s="21" t="n"/>
      <c r="K410" s="18">
        <f>IF(D410="","",IF(D410&gt;=70,"YES","no"))</f>
        <v/>
      </c>
    </row>
    <row r="411">
      <c r="A411" s="19" t="n"/>
      <c r="B411" s="19" t="n"/>
      <c r="C411" s="19" t="n"/>
      <c r="D411" s="19" t="n"/>
      <c r="E411" s="19" t="n"/>
      <c r="F411" s="20" t="n"/>
      <c r="G411" s="19" t="n"/>
      <c r="H411" s="19" t="n"/>
      <c r="I411" s="19" t="n"/>
      <c r="J411" s="21" t="n"/>
      <c r="K411" s="18">
        <f>IF(D411="","",IF(D411&gt;=70,"YES","no"))</f>
        <v/>
      </c>
    </row>
    <row r="412">
      <c r="A412" s="19" t="n"/>
      <c r="B412" s="19" t="n"/>
      <c r="C412" s="19" t="n"/>
      <c r="D412" s="19" t="n"/>
      <c r="E412" s="19" t="n"/>
      <c r="F412" s="20" t="n"/>
      <c r="G412" s="19" t="n"/>
      <c r="H412" s="19" t="n"/>
      <c r="I412" s="19" t="n"/>
      <c r="J412" s="21" t="n"/>
      <c r="K412" s="18">
        <f>IF(D412="","",IF(D412&gt;=70,"YES","no"))</f>
        <v/>
      </c>
    </row>
    <row r="413">
      <c r="A413" s="19" t="n"/>
      <c r="B413" s="19" t="n"/>
      <c r="C413" s="19" t="n"/>
      <c r="D413" s="19" t="n"/>
      <c r="E413" s="19" t="n"/>
      <c r="F413" s="20" t="n"/>
      <c r="G413" s="19" t="n"/>
      <c r="H413" s="19" t="n"/>
      <c r="I413" s="19" t="n"/>
      <c r="J413" s="21" t="n"/>
      <c r="K413" s="18">
        <f>IF(D413="","",IF(D413&gt;=70,"YES","no"))</f>
        <v/>
      </c>
    </row>
    <row r="414">
      <c r="A414" s="19" t="n"/>
      <c r="B414" s="19" t="n"/>
      <c r="C414" s="19" t="n"/>
      <c r="D414" s="19" t="n"/>
      <c r="E414" s="19" t="n"/>
      <c r="F414" s="20" t="n"/>
      <c r="G414" s="19" t="n"/>
      <c r="H414" s="19" t="n"/>
      <c r="I414" s="19" t="n"/>
      <c r="J414" s="21" t="n"/>
      <c r="K414" s="18">
        <f>IF(D414="","",IF(D414&gt;=70,"YES","no"))</f>
        <v/>
      </c>
    </row>
    <row r="415">
      <c r="A415" s="19" t="n"/>
      <c r="B415" s="19" t="n"/>
      <c r="C415" s="19" t="n"/>
      <c r="D415" s="19" t="n"/>
      <c r="E415" s="19" t="n"/>
      <c r="F415" s="20" t="n"/>
      <c r="G415" s="19" t="n"/>
      <c r="H415" s="19" t="n"/>
      <c r="I415" s="19" t="n"/>
      <c r="J415" s="21" t="n"/>
      <c r="K415" s="18">
        <f>IF(D415="","",IF(D415&gt;=70,"YES","no"))</f>
        <v/>
      </c>
    </row>
    <row r="416">
      <c r="A416" s="19" t="n"/>
      <c r="B416" s="19" t="n"/>
      <c r="C416" s="19" t="n"/>
      <c r="D416" s="19" t="n"/>
      <c r="E416" s="19" t="n"/>
      <c r="F416" s="20" t="n"/>
      <c r="G416" s="19" t="n"/>
      <c r="H416" s="19" t="n"/>
      <c r="I416" s="19" t="n"/>
      <c r="J416" s="21" t="n"/>
      <c r="K416" s="18">
        <f>IF(D416="","",IF(D416&gt;=70,"YES","no"))</f>
        <v/>
      </c>
    </row>
    <row r="417">
      <c r="A417" s="19" t="n"/>
      <c r="B417" s="19" t="n"/>
      <c r="C417" s="19" t="n"/>
      <c r="D417" s="19" t="n"/>
      <c r="E417" s="19" t="n"/>
      <c r="F417" s="20" t="n"/>
      <c r="G417" s="19" t="n"/>
      <c r="H417" s="19" t="n"/>
      <c r="I417" s="19" t="n"/>
      <c r="J417" s="21" t="n"/>
      <c r="K417" s="18">
        <f>IF(D417="","",IF(D417&gt;=70,"YES","no"))</f>
        <v/>
      </c>
    </row>
    <row r="418">
      <c r="A418" s="19" t="n"/>
      <c r="B418" s="19" t="n"/>
      <c r="C418" s="19" t="n"/>
      <c r="D418" s="19" t="n"/>
      <c r="E418" s="19" t="n"/>
      <c r="F418" s="20" t="n"/>
      <c r="G418" s="19" t="n"/>
      <c r="H418" s="19" t="n"/>
      <c r="I418" s="19" t="n"/>
      <c r="J418" s="21" t="n"/>
      <c r="K418" s="18">
        <f>IF(D418="","",IF(D418&gt;=70,"YES","no"))</f>
        <v/>
      </c>
    </row>
    <row r="419">
      <c r="A419" s="19" t="n"/>
      <c r="B419" s="19" t="n"/>
      <c r="C419" s="19" t="n"/>
      <c r="D419" s="19" t="n"/>
      <c r="E419" s="19" t="n"/>
      <c r="F419" s="20" t="n"/>
      <c r="G419" s="19" t="n"/>
      <c r="H419" s="19" t="n"/>
      <c r="I419" s="19" t="n"/>
      <c r="J419" s="21" t="n"/>
      <c r="K419" s="18">
        <f>IF(D419="","",IF(D419&gt;=70,"YES","no"))</f>
        <v/>
      </c>
    </row>
    <row r="420">
      <c r="A420" s="19" t="n"/>
      <c r="B420" s="19" t="n"/>
      <c r="C420" s="19" t="n"/>
      <c r="D420" s="19" t="n"/>
      <c r="E420" s="19" t="n"/>
      <c r="F420" s="20" t="n"/>
      <c r="G420" s="19" t="n"/>
      <c r="H420" s="19" t="n"/>
      <c r="I420" s="19" t="n"/>
      <c r="J420" s="21" t="n"/>
      <c r="K420" s="18">
        <f>IF(D420="","",IF(D420&gt;=70,"YES","no"))</f>
        <v/>
      </c>
    </row>
    <row r="421">
      <c r="A421" s="19" t="n"/>
      <c r="B421" s="19" t="n"/>
      <c r="C421" s="19" t="n"/>
      <c r="D421" s="19" t="n"/>
      <c r="E421" s="19" t="n"/>
      <c r="F421" s="20" t="n"/>
      <c r="G421" s="19" t="n"/>
      <c r="H421" s="19" t="n"/>
      <c r="I421" s="19" t="n"/>
      <c r="J421" s="21" t="n"/>
      <c r="K421" s="18">
        <f>IF(D421="","",IF(D421&gt;=70,"YES","no"))</f>
        <v/>
      </c>
    </row>
    <row r="422">
      <c r="A422" s="19" t="n"/>
      <c r="B422" s="19" t="n"/>
      <c r="C422" s="19" t="n"/>
      <c r="D422" s="19" t="n"/>
      <c r="E422" s="19" t="n"/>
      <c r="F422" s="20" t="n"/>
      <c r="G422" s="19" t="n"/>
      <c r="H422" s="19" t="n"/>
      <c r="I422" s="19" t="n"/>
      <c r="J422" s="21" t="n"/>
      <c r="K422" s="18">
        <f>IF(D422="","",IF(D422&gt;=70,"YES","no"))</f>
        <v/>
      </c>
    </row>
    <row r="423">
      <c r="A423" s="19" t="n"/>
      <c r="B423" s="19" t="n"/>
      <c r="C423" s="19" t="n"/>
      <c r="D423" s="19" t="n"/>
      <c r="E423" s="19" t="n"/>
      <c r="F423" s="20" t="n"/>
      <c r="G423" s="19" t="n"/>
      <c r="H423" s="19" t="n"/>
      <c r="I423" s="19" t="n"/>
      <c r="J423" s="21" t="n"/>
      <c r="K423" s="18">
        <f>IF(D423="","",IF(D423&gt;=70,"YES","no"))</f>
        <v/>
      </c>
    </row>
    <row r="424">
      <c r="A424" s="19" t="n"/>
      <c r="B424" s="19" t="n"/>
      <c r="C424" s="19" t="n"/>
      <c r="D424" s="19" t="n"/>
      <c r="E424" s="19" t="n"/>
      <c r="F424" s="20" t="n"/>
      <c r="G424" s="19" t="n"/>
      <c r="H424" s="19" t="n"/>
      <c r="I424" s="19" t="n"/>
      <c r="J424" s="21" t="n"/>
      <c r="K424" s="18">
        <f>IF(D424="","",IF(D424&gt;=70,"YES","no"))</f>
        <v/>
      </c>
    </row>
    <row r="425">
      <c r="A425" s="19" t="n"/>
      <c r="B425" s="19" t="n"/>
      <c r="C425" s="19" t="n"/>
      <c r="D425" s="19" t="n"/>
      <c r="E425" s="19" t="n"/>
      <c r="F425" s="20" t="n"/>
      <c r="G425" s="19" t="n"/>
      <c r="H425" s="19" t="n"/>
      <c r="I425" s="19" t="n"/>
      <c r="J425" s="21" t="n"/>
      <c r="K425" s="18">
        <f>IF(D425="","",IF(D425&gt;=70,"YES","no"))</f>
        <v/>
      </c>
    </row>
    <row r="426">
      <c r="A426" s="19" t="n"/>
      <c r="B426" s="19" t="n"/>
      <c r="C426" s="19" t="n"/>
      <c r="D426" s="19" t="n"/>
      <c r="E426" s="19" t="n"/>
      <c r="F426" s="20" t="n"/>
      <c r="G426" s="19" t="n"/>
      <c r="H426" s="19" t="n"/>
      <c r="I426" s="19" t="n"/>
      <c r="J426" s="21" t="n"/>
      <c r="K426" s="18">
        <f>IF(D426="","",IF(D426&gt;=70,"YES","no"))</f>
        <v/>
      </c>
    </row>
    <row r="427">
      <c r="A427" s="19" t="n"/>
      <c r="B427" s="19" t="n"/>
      <c r="C427" s="19" t="n"/>
      <c r="D427" s="19" t="n"/>
      <c r="E427" s="19" t="n"/>
      <c r="F427" s="20" t="n"/>
      <c r="G427" s="19" t="n"/>
      <c r="H427" s="19" t="n"/>
      <c r="I427" s="19" t="n"/>
      <c r="J427" s="21" t="n"/>
      <c r="K427" s="18">
        <f>IF(D427="","",IF(D427&gt;=70,"YES","no"))</f>
        <v/>
      </c>
    </row>
    <row r="428">
      <c r="A428" s="19" t="n"/>
      <c r="B428" s="19" t="n"/>
      <c r="C428" s="19" t="n"/>
      <c r="D428" s="19" t="n"/>
      <c r="E428" s="19" t="n"/>
      <c r="F428" s="20" t="n"/>
      <c r="G428" s="19" t="n"/>
      <c r="H428" s="19" t="n"/>
      <c r="I428" s="19" t="n"/>
      <c r="J428" s="21" t="n"/>
      <c r="K428" s="18">
        <f>IF(D428="","",IF(D428&gt;=70,"YES","no"))</f>
        <v/>
      </c>
    </row>
    <row r="429">
      <c r="A429" s="19" t="n"/>
      <c r="B429" s="19" t="n"/>
      <c r="C429" s="19" t="n"/>
      <c r="D429" s="19" t="n"/>
      <c r="E429" s="19" t="n"/>
      <c r="F429" s="20" t="n"/>
      <c r="G429" s="19" t="n"/>
      <c r="H429" s="19" t="n"/>
      <c r="I429" s="19" t="n"/>
      <c r="J429" s="21" t="n"/>
      <c r="K429" s="18">
        <f>IF(D429="","",IF(D429&gt;=70,"YES","no"))</f>
        <v/>
      </c>
    </row>
    <row r="430">
      <c r="A430" s="19" t="n"/>
      <c r="B430" s="19" t="n"/>
      <c r="C430" s="19" t="n"/>
      <c r="D430" s="19" t="n"/>
      <c r="E430" s="19" t="n"/>
      <c r="F430" s="20" t="n"/>
      <c r="G430" s="19" t="n"/>
      <c r="H430" s="19" t="n"/>
      <c r="I430" s="19" t="n"/>
      <c r="J430" s="21" t="n"/>
      <c r="K430" s="18">
        <f>IF(D430="","",IF(D430&gt;=70,"YES","no"))</f>
        <v/>
      </c>
    </row>
    <row r="431">
      <c r="A431" s="19" t="n"/>
      <c r="B431" s="19" t="n"/>
      <c r="C431" s="19" t="n"/>
      <c r="D431" s="19" t="n"/>
      <c r="E431" s="19" t="n"/>
      <c r="F431" s="20" t="n"/>
      <c r="G431" s="19" t="n"/>
      <c r="H431" s="19" t="n"/>
      <c r="I431" s="19" t="n"/>
      <c r="J431" s="21" t="n"/>
      <c r="K431" s="18">
        <f>IF(D431="","",IF(D431&gt;=70,"YES","no"))</f>
        <v/>
      </c>
    </row>
    <row r="432">
      <c r="A432" s="19" t="n"/>
      <c r="B432" s="19" t="n"/>
      <c r="C432" s="19" t="n"/>
      <c r="D432" s="19" t="n"/>
      <c r="E432" s="19" t="n"/>
      <c r="F432" s="20" t="n"/>
      <c r="G432" s="19" t="n"/>
      <c r="H432" s="19" t="n"/>
      <c r="I432" s="19" t="n"/>
      <c r="J432" s="21" t="n"/>
      <c r="K432" s="18">
        <f>IF(D432="","",IF(D432&gt;=70,"YES","no"))</f>
        <v/>
      </c>
    </row>
    <row r="433">
      <c r="A433" s="19" t="n"/>
      <c r="B433" s="19" t="n"/>
      <c r="C433" s="19" t="n"/>
      <c r="D433" s="19" t="n"/>
      <c r="E433" s="19" t="n"/>
      <c r="F433" s="20" t="n"/>
      <c r="G433" s="19" t="n"/>
      <c r="H433" s="19" t="n"/>
      <c r="I433" s="19" t="n"/>
      <c r="J433" s="21" t="n"/>
      <c r="K433" s="18">
        <f>IF(D433="","",IF(D433&gt;=70,"YES","no"))</f>
        <v/>
      </c>
    </row>
    <row r="434">
      <c r="A434" s="19" t="n"/>
      <c r="B434" s="19" t="n"/>
      <c r="C434" s="19" t="n"/>
      <c r="D434" s="19" t="n"/>
      <c r="E434" s="19" t="n"/>
      <c r="F434" s="20" t="n"/>
      <c r="G434" s="19" t="n"/>
      <c r="H434" s="19" t="n"/>
      <c r="I434" s="19" t="n"/>
      <c r="J434" s="21" t="n"/>
      <c r="K434" s="18">
        <f>IF(D434="","",IF(D434&gt;=70,"YES","no"))</f>
        <v/>
      </c>
    </row>
    <row r="435">
      <c r="A435" s="19" t="n"/>
      <c r="B435" s="19" t="n"/>
      <c r="C435" s="19" t="n"/>
      <c r="D435" s="19" t="n"/>
      <c r="E435" s="19" t="n"/>
      <c r="F435" s="20" t="n"/>
      <c r="G435" s="19" t="n"/>
      <c r="H435" s="19" t="n"/>
      <c r="I435" s="19" t="n"/>
      <c r="J435" s="21" t="n"/>
      <c r="K435" s="18">
        <f>IF(D435="","",IF(D435&gt;=70,"YES","no"))</f>
        <v/>
      </c>
    </row>
    <row r="436">
      <c r="A436" s="19" t="n"/>
      <c r="B436" s="19" t="n"/>
      <c r="C436" s="19" t="n"/>
      <c r="D436" s="19" t="n"/>
      <c r="E436" s="19" t="n"/>
      <c r="F436" s="20" t="n"/>
      <c r="G436" s="19" t="n"/>
      <c r="H436" s="19" t="n"/>
      <c r="I436" s="19" t="n"/>
      <c r="J436" s="21" t="n"/>
      <c r="K436" s="18">
        <f>IF(D436="","",IF(D436&gt;=70,"YES","no"))</f>
        <v/>
      </c>
    </row>
    <row r="437">
      <c r="A437" s="19" t="n"/>
      <c r="B437" s="19" t="n"/>
      <c r="C437" s="19" t="n"/>
      <c r="D437" s="19" t="n"/>
      <c r="E437" s="19" t="n"/>
      <c r="F437" s="20" t="n"/>
      <c r="G437" s="19" t="n"/>
      <c r="H437" s="19" t="n"/>
      <c r="I437" s="19" t="n"/>
      <c r="J437" s="21" t="n"/>
      <c r="K437" s="18">
        <f>IF(D437="","",IF(D437&gt;=70,"YES","no"))</f>
        <v/>
      </c>
    </row>
    <row r="438">
      <c r="A438" s="19" t="n"/>
      <c r="B438" s="19" t="n"/>
      <c r="C438" s="19" t="n"/>
      <c r="D438" s="19" t="n"/>
      <c r="E438" s="19" t="n"/>
      <c r="F438" s="20" t="n"/>
      <c r="G438" s="19" t="n"/>
      <c r="H438" s="19" t="n"/>
      <c r="I438" s="19" t="n"/>
      <c r="J438" s="21" t="n"/>
      <c r="K438" s="18">
        <f>IF(D438="","",IF(D438&gt;=70,"YES","no"))</f>
        <v/>
      </c>
    </row>
    <row r="439">
      <c r="A439" s="19" t="n"/>
      <c r="B439" s="19" t="n"/>
      <c r="C439" s="19" t="n"/>
      <c r="D439" s="19" t="n"/>
      <c r="E439" s="19" t="n"/>
      <c r="F439" s="20" t="n"/>
      <c r="G439" s="19" t="n"/>
      <c r="H439" s="19" t="n"/>
      <c r="I439" s="19" t="n"/>
      <c r="J439" s="21" t="n"/>
      <c r="K439" s="18">
        <f>IF(D439="","",IF(D439&gt;=70,"YES","no"))</f>
        <v/>
      </c>
    </row>
    <row r="440">
      <c r="A440" s="19" t="n"/>
      <c r="B440" s="19" t="n"/>
      <c r="C440" s="19" t="n"/>
      <c r="D440" s="19" t="n"/>
      <c r="E440" s="19" t="n"/>
      <c r="F440" s="20" t="n"/>
      <c r="G440" s="19" t="n"/>
      <c r="H440" s="19" t="n"/>
      <c r="I440" s="19" t="n"/>
      <c r="J440" s="21" t="n"/>
      <c r="K440" s="18">
        <f>IF(D440="","",IF(D440&gt;=70,"YES","no"))</f>
        <v/>
      </c>
    </row>
    <row r="441">
      <c r="A441" s="19" t="n"/>
      <c r="B441" s="19" t="n"/>
      <c r="C441" s="19" t="n"/>
      <c r="D441" s="19" t="n"/>
      <c r="E441" s="19" t="n"/>
      <c r="F441" s="20" t="n"/>
      <c r="G441" s="19" t="n"/>
      <c r="H441" s="19" t="n"/>
      <c r="I441" s="19" t="n"/>
      <c r="J441" s="21" t="n"/>
      <c r="K441" s="18">
        <f>IF(D441="","",IF(D441&gt;=70,"YES","no"))</f>
        <v/>
      </c>
    </row>
    <row r="442">
      <c r="A442" s="19" t="n"/>
      <c r="B442" s="19" t="n"/>
      <c r="C442" s="19" t="n"/>
      <c r="D442" s="19" t="n"/>
      <c r="E442" s="19" t="n"/>
      <c r="F442" s="20" t="n"/>
      <c r="G442" s="19" t="n"/>
      <c r="H442" s="19" t="n"/>
      <c r="I442" s="19" t="n"/>
      <c r="J442" s="21" t="n"/>
      <c r="K442" s="18">
        <f>IF(D442="","",IF(D442&gt;=70,"YES","no"))</f>
        <v/>
      </c>
    </row>
    <row r="443">
      <c r="A443" s="19" t="n"/>
      <c r="B443" s="19" t="n"/>
      <c r="C443" s="19" t="n"/>
      <c r="D443" s="19" t="n"/>
      <c r="E443" s="19" t="n"/>
      <c r="F443" s="20" t="n"/>
      <c r="G443" s="19" t="n"/>
      <c r="H443" s="19" t="n"/>
      <c r="I443" s="19" t="n"/>
      <c r="J443" s="21" t="n"/>
      <c r="K443" s="18">
        <f>IF(D443="","",IF(D443&gt;=70,"YES","no"))</f>
        <v/>
      </c>
    </row>
    <row r="444">
      <c r="A444" s="19" t="n"/>
      <c r="B444" s="19" t="n"/>
      <c r="C444" s="19" t="n"/>
      <c r="D444" s="19" t="n"/>
      <c r="E444" s="19" t="n"/>
      <c r="F444" s="20" t="n"/>
      <c r="G444" s="19" t="n"/>
      <c r="H444" s="19" t="n"/>
      <c r="I444" s="19" t="n"/>
      <c r="J444" s="21" t="n"/>
      <c r="K444" s="18">
        <f>IF(D444="","",IF(D444&gt;=70,"YES","no"))</f>
        <v/>
      </c>
    </row>
    <row r="445">
      <c r="A445" s="19" t="n"/>
      <c r="B445" s="19" t="n"/>
      <c r="C445" s="19" t="n"/>
      <c r="D445" s="19" t="n"/>
      <c r="E445" s="19" t="n"/>
      <c r="F445" s="20" t="n"/>
      <c r="G445" s="19" t="n"/>
      <c r="H445" s="19" t="n"/>
      <c r="I445" s="19" t="n"/>
      <c r="J445" s="21" t="n"/>
      <c r="K445" s="18">
        <f>IF(D445="","",IF(D445&gt;=70,"YES","no"))</f>
        <v/>
      </c>
    </row>
    <row r="446">
      <c r="A446" s="19" t="n"/>
      <c r="B446" s="19" t="n"/>
      <c r="C446" s="19" t="n"/>
      <c r="D446" s="19" t="n"/>
      <c r="E446" s="19" t="n"/>
      <c r="F446" s="20" t="n"/>
      <c r="G446" s="19" t="n"/>
      <c r="H446" s="19" t="n"/>
      <c r="I446" s="19" t="n"/>
      <c r="J446" s="21" t="n"/>
      <c r="K446" s="18">
        <f>IF(D446="","",IF(D446&gt;=70,"YES","no"))</f>
        <v/>
      </c>
    </row>
    <row r="447">
      <c r="A447" s="19" t="n"/>
      <c r="B447" s="19" t="n"/>
      <c r="C447" s="19" t="n"/>
      <c r="D447" s="19" t="n"/>
      <c r="E447" s="19" t="n"/>
      <c r="F447" s="20" t="n"/>
      <c r="G447" s="19" t="n"/>
      <c r="H447" s="19" t="n"/>
      <c r="I447" s="19" t="n"/>
      <c r="J447" s="21" t="n"/>
      <c r="K447" s="18">
        <f>IF(D447="","",IF(D447&gt;=70,"YES","no"))</f>
        <v/>
      </c>
    </row>
    <row r="448">
      <c r="A448" s="19" t="n"/>
      <c r="B448" s="19" t="n"/>
      <c r="C448" s="19" t="n"/>
      <c r="D448" s="19" t="n"/>
      <c r="E448" s="19" t="n"/>
      <c r="F448" s="20" t="n"/>
      <c r="G448" s="19" t="n"/>
      <c r="H448" s="19" t="n"/>
      <c r="I448" s="19" t="n"/>
      <c r="J448" s="21" t="n"/>
      <c r="K448" s="18">
        <f>IF(D448="","",IF(D448&gt;=70,"YES","no"))</f>
        <v/>
      </c>
    </row>
    <row r="449">
      <c r="A449" s="19" t="n"/>
      <c r="B449" s="19" t="n"/>
      <c r="C449" s="19" t="n"/>
      <c r="D449" s="19" t="n"/>
      <c r="E449" s="19" t="n"/>
      <c r="F449" s="20" t="n"/>
      <c r="G449" s="19" t="n"/>
      <c r="H449" s="19" t="n"/>
      <c r="I449" s="19" t="n"/>
      <c r="J449" s="21" t="n"/>
      <c r="K449" s="18">
        <f>IF(D449="","",IF(D449&gt;=70,"YES","no"))</f>
        <v/>
      </c>
    </row>
    <row r="450">
      <c r="A450" s="19" t="n"/>
      <c r="B450" s="19" t="n"/>
      <c r="C450" s="19" t="n"/>
      <c r="D450" s="19" t="n"/>
      <c r="E450" s="19" t="n"/>
      <c r="F450" s="20" t="n"/>
      <c r="G450" s="19" t="n"/>
      <c r="H450" s="19" t="n"/>
      <c r="I450" s="19" t="n"/>
      <c r="J450" s="21" t="n"/>
      <c r="K450" s="18">
        <f>IF(D450="","",IF(D450&gt;=70,"YES","no"))</f>
        <v/>
      </c>
    </row>
    <row r="451">
      <c r="A451" s="19" t="n"/>
      <c r="B451" s="19" t="n"/>
      <c r="C451" s="19" t="n"/>
      <c r="D451" s="19" t="n"/>
      <c r="E451" s="19" t="n"/>
      <c r="F451" s="20" t="n"/>
      <c r="G451" s="19" t="n"/>
      <c r="H451" s="19" t="n"/>
      <c r="I451" s="19" t="n"/>
      <c r="J451" s="21" t="n"/>
      <c r="K451" s="18">
        <f>IF(D451="","",IF(D451&gt;=70,"YES","no"))</f>
        <v/>
      </c>
    </row>
    <row r="452">
      <c r="A452" s="19" t="n"/>
      <c r="B452" s="19" t="n"/>
      <c r="C452" s="19" t="n"/>
      <c r="D452" s="19" t="n"/>
      <c r="E452" s="19" t="n"/>
      <c r="F452" s="20" t="n"/>
      <c r="G452" s="19" t="n"/>
      <c r="H452" s="19" t="n"/>
      <c r="I452" s="19" t="n"/>
      <c r="J452" s="21" t="n"/>
      <c r="K452" s="18">
        <f>IF(D452="","",IF(D452&gt;=70,"YES","no"))</f>
        <v/>
      </c>
    </row>
    <row r="453">
      <c r="A453" s="19" t="n"/>
      <c r="B453" s="19" t="n"/>
      <c r="C453" s="19" t="n"/>
      <c r="D453" s="19" t="n"/>
      <c r="E453" s="19" t="n"/>
      <c r="F453" s="20" t="n"/>
      <c r="G453" s="19" t="n"/>
      <c r="H453" s="19" t="n"/>
      <c r="I453" s="19" t="n"/>
      <c r="J453" s="21" t="n"/>
      <c r="K453" s="18">
        <f>IF(D453="","",IF(D453&gt;=70,"YES","no"))</f>
        <v/>
      </c>
    </row>
    <row r="454">
      <c r="A454" s="19" t="n"/>
      <c r="B454" s="19" t="n"/>
      <c r="C454" s="19" t="n"/>
      <c r="D454" s="19" t="n"/>
      <c r="E454" s="19" t="n"/>
      <c r="F454" s="20" t="n"/>
      <c r="G454" s="19" t="n"/>
      <c r="H454" s="19" t="n"/>
      <c r="I454" s="19" t="n"/>
      <c r="J454" s="21" t="n"/>
      <c r="K454" s="18">
        <f>IF(D454="","",IF(D454&gt;=70,"YES","no"))</f>
        <v/>
      </c>
    </row>
    <row r="455">
      <c r="A455" s="19" t="n"/>
      <c r="B455" s="19" t="n"/>
      <c r="C455" s="19" t="n"/>
      <c r="D455" s="19" t="n"/>
      <c r="E455" s="19" t="n"/>
      <c r="F455" s="20" t="n"/>
      <c r="G455" s="19" t="n"/>
      <c r="H455" s="19" t="n"/>
      <c r="I455" s="19" t="n"/>
      <c r="J455" s="21" t="n"/>
      <c r="K455" s="18">
        <f>IF(D455="","",IF(D455&gt;=70,"YES","no"))</f>
        <v/>
      </c>
    </row>
    <row r="456">
      <c r="A456" s="19" t="n"/>
      <c r="B456" s="19" t="n"/>
      <c r="C456" s="19" t="n"/>
      <c r="D456" s="19" t="n"/>
      <c r="E456" s="19" t="n"/>
      <c r="F456" s="20" t="n"/>
      <c r="G456" s="19" t="n"/>
      <c r="H456" s="19" t="n"/>
      <c r="I456" s="19" t="n"/>
      <c r="J456" s="21" t="n"/>
      <c r="K456" s="18">
        <f>IF(D456="","",IF(D456&gt;=70,"YES","no"))</f>
        <v/>
      </c>
    </row>
    <row r="457">
      <c r="A457" s="19" t="n"/>
      <c r="B457" s="19" t="n"/>
      <c r="C457" s="19" t="n"/>
      <c r="D457" s="19" t="n"/>
      <c r="E457" s="19" t="n"/>
      <c r="F457" s="20" t="n"/>
      <c r="G457" s="19" t="n"/>
      <c r="H457" s="19" t="n"/>
      <c r="I457" s="19" t="n"/>
      <c r="J457" s="21" t="n"/>
      <c r="K457" s="18">
        <f>IF(D457="","",IF(D457&gt;=70,"YES","no"))</f>
        <v/>
      </c>
    </row>
    <row r="458">
      <c r="A458" s="19" t="n"/>
      <c r="B458" s="19" t="n"/>
      <c r="C458" s="19" t="n"/>
      <c r="D458" s="19" t="n"/>
      <c r="E458" s="19" t="n"/>
      <c r="F458" s="20" t="n"/>
      <c r="G458" s="19" t="n"/>
      <c r="H458" s="19" t="n"/>
      <c r="I458" s="19" t="n"/>
      <c r="J458" s="21" t="n"/>
      <c r="K458" s="18">
        <f>IF(D458="","",IF(D458&gt;=70,"YES","no"))</f>
        <v/>
      </c>
    </row>
    <row r="459">
      <c r="A459" s="19" t="n"/>
      <c r="B459" s="19" t="n"/>
      <c r="C459" s="19" t="n"/>
      <c r="D459" s="19" t="n"/>
      <c r="E459" s="19" t="n"/>
      <c r="F459" s="20" t="n"/>
      <c r="G459" s="19" t="n"/>
      <c r="H459" s="19" t="n"/>
      <c r="I459" s="19" t="n"/>
      <c r="J459" s="21" t="n"/>
      <c r="K459" s="18">
        <f>IF(D459="","",IF(D459&gt;=70,"YES","no"))</f>
        <v/>
      </c>
    </row>
    <row r="460">
      <c r="A460" s="19" t="n"/>
      <c r="B460" s="19" t="n"/>
      <c r="C460" s="19" t="n"/>
      <c r="D460" s="19" t="n"/>
      <c r="E460" s="19" t="n"/>
      <c r="F460" s="20" t="n"/>
      <c r="G460" s="19" t="n"/>
      <c r="H460" s="19" t="n"/>
      <c r="I460" s="19" t="n"/>
      <c r="J460" s="21" t="n"/>
      <c r="K460" s="18">
        <f>IF(D460="","",IF(D460&gt;=70,"YES","no"))</f>
        <v/>
      </c>
    </row>
    <row r="461">
      <c r="A461" s="19" t="n"/>
      <c r="B461" s="19" t="n"/>
      <c r="C461" s="19" t="n"/>
      <c r="D461" s="19" t="n"/>
      <c r="E461" s="19" t="n"/>
      <c r="F461" s="20" t="n"/>
      <c r="G461" s="19" t="n"/>
      <c r="H461" s="19" t="n"/>
      <c r="I461" s="19" t="n"/>
      <c r="J461" s="21" t="n"/>
      <c r="K461" s="18">
        <f>IF(D461="","",IF(D461&gt;=70,"YES","no"))</f>
        <v/>
      </c>
    </row>
    <row r="462">
      <c r="A462" s="19" t="n"/>
      <c r="B462" s="19" t="n"/>
      <c r="C462" s="19" t="n"/>
      <c r="D462" s="19" t="n"/>
      <c r="E462" s="19" t="n"/>
      <c r="F462" s="20" t="n"/>
      <c r="G462" s="19" t="n"/>
      <c r="H462" s="19" t="n"/>
      <c r="I462" s="19" t="n"/>
      <c r="J462" s="21" t="n"/>
      <c r="K462" s="18">
        <f>IF(D462="","",IF(D462&gt;=70,"YES","no"))</f>
        <v/>
      </c>
    </row>
    <row r="463">
      <c r="A463" s="19" t="n"/>
      <c r="B463" s="19" t="n"/>
      <c r="C463" s="19" t="n"/>
      <c r="D463" s="19" t="n"/>
      <c r="E463" s="19" t="n"/>
      <c r="F463" s="20" t="n"/>
      <c r="G463" s="19" t="n"/>
      <c r="H463" s="19" t="n"/>
      <c r="I463" s="19" t="n"/>
      <c r="J463" s="21" t="n"/>
      <c r="K463" s="18">
        <f>IF(D463="","",IF(D463&gt;=70,"YES","no"))</f>
        <v/>
      </c>
    </row>
    <row r="464">
      <c r="A464" s="19" t="n"/>
      <c r="B464" s="19" t="n"/>
      <c r="C464" s="19" t="n"/>
      <c r="D464" s="19" t="n"/>
      <c r="E464" s="19" t="n"/>
      <c r="F464" s="20" t="n"/>
      <c r="G464" s="19" t="n"/>
      <c r="H464" s="19" t="n"/>
      <c r="I464" s="19" t="n"/>
      <c r="J464" s="21" t="n"/>
      <c r="K464" s="18">
        <f>IF(D464="","",IF(D464&gt;=70,"YES","no"))</f>
        <v/>
      </c>
    </row>
    <row r="465">
      <c r="A465" s="19" t="n"/>
      <c r="B465" s="19" t="n"/>
      <c r="C465" s="19" t="n"/>
      <c r="D465" s="19" t="n"/>
      <c r="E465" s="19" t="n"/>
      <c r="F465" s="20" t="n"/>
      <c r="G465" s="19" t="n"/>
      <c r="H465" s="19" t="n"/>
      <c r="I465" s="19" t="n"/>
      <c r="J465" s="21" t="n"/>
      <c r="K465" s="18">
        <f>IF(D465="","",IF(D465&gt;=70,"YES","no"))</f>
        <v/>
      </c>
    </row>
    <row r="466">
      <c r="A466" s="19" t="n"/>
      <c r="B466" s="19" t="n"/>
      <c r="C466" s="19" t="n"/>
      <c r="D466" s="19" t="n"/>
      <c r="E466" s="19" t="n"/>
      <c r="F466" s="20" t="n"/>
      <c r="G466" s="19" t="n"/>
      <c r="H466" s="19" t="n"/>
      <c r="I466" s="19" t="n"/>
      <c r="J466" s="21" t="n"/>
      <c r="K466" s="18">
        <f>IF(D466="","",IF(D466&gt;=70,"YES","no"))</f>
        <v/>
      </c>
    </row>
    <row r="467">
      <c r="A467" s="19" t="n"/>
      <c r="B467" s="19" t="n"/>
      <c r="C467" s="19" t="n"/>
      <c r="D467" s="19" t="n"/>
      <c r="E467" s="19" t="n"/>
      <c r="F467" s="20" t="n"/>
      <c r="G467" s="19" t="n"/>
      <c r="H467" s="19" t="n"/>
      <c r="I467" s="19" t="n"/>
      <c r="J467" s="21" t="n"/>
      <c r="K467" s="18">
        <f>IF(D467="","",IF(D467&gt;=70,"YES","no"))</f>
        <v/>
      </c>
    </row>
    <row r="468">
      <c r="A468" s="19" t="n"/>
      <c r="B468" s="19" t="n"/>
      <c r="C468" s="19" t="n"/>
      <c r="D468" s="19" t="n"/>
      <c r="E468" s="19" t="n"/>
      <c r="F468" s="20" t="n"/>
      <c r="G468" s="19" t="n"/>
      <c r="H468" s="19" t="n"/>
      <c r="I468" s="19" t="n"/>
      <c r="J468" s="21" t="n"/>
      <c r="K468" s="18">
        <f>IF(D468="","",IF(D468&gt;=70,"YES","no"))</f>
        <v/>
      </c>
    </row>
    <row r="469">
      <c r="A469" s="19" t="n"/>
      <c r="B469" s="19" t="n"/>
      <c r="C469" s="19" t="n"/>
      <c r="D469" s="19" t="n"/>
      <c r="E469" s="19" t="n"/>
      <c r="F469" s="20" t="n"/>
      <c r="G469" s="19" t="n"/>
      <c r="H469" s="19" t="n"/>
      <c r="I469" s="19" t="n"/>
      <c r="J469" s="21" t="n"/>
      <c r="K469" s="18">
        <f>IF(D469="","",IF(D469&gt;=70,"YES","no"))</f>
        <v/>
      </c>
    </row>
    <row r="470">
      <c r="A470" s="19" t="n"/>
      <c r="B470" s="19" t="n"/>
      <c r="C470" s="19" t="n"/>
      <c r="D470" s="19" t="n"/>
      <c r="E470" s="19" t="n"/>
      <c r="F470" s="20" t="n"/>
      <c r="G470" s="19" t="n"/>
      <c r="H470" s="19" t="n"/>
      <c r="I470" s="19" t="n"/>
      <c r="J470" s="21" t="n"/>
      <c r="K470" s="18">
        <f>IF(D470="","",IF(D470&gt;=70,"YES","no"))</f>
        <v/>
      </c>
    </row>
    <row r="471">
      <c r="A471" s="19" t="n"/>
      <c r="B471" s="19" t="n"/>
      <c r="C471" s="19" t="n"/>
      <c r="D471" s="19" t="n"/>
      <c r="E471" s="19" t="n"/>
      <c r="F471" s="20" t="n"/>
      <c r="G471" s="19" t="n"/>
      <c r="H471" s="19" t="n"/>
      <c r="I471" s="19" t="n"/>
      <c r="J471" s="21" t="n"/>
      <c r="K471" s="18">
        <f>IF(D471="","",IF(D471&gt;=70,"YES","no"))</f>
        <v/>
      </c>
    </row>
    <row r="472">
      <c r="A472" s="19" t="n"/>
      <c r="B472" s="19" t="n"/>
      <c r="C472" s="19" t="n"/>
      <c r="D472" s="19" t="n"/>
      <c r="E472" s="19" t="n"/>
      <c r="F472" s="20" t="n"/>
      <c r="G472" s="19" t="n"/>
      <c r="H472" s="19" t="n"/>
      <c r="I472" s="19" t="n"/>
      <c r="J472" s="21" t="n"/>
      <c r="K472" s="18">
        <f>IF(D472="","",IF(D472&gt;=70,"YES","no"))</f>
        <v/>
      </c>
    </row>
    <row r="473">
      <c r="A473" s="19" t="n"/>
      <c r="B473" s="19" t="n"/>
      <c r="C473" s="19" t="n"/>
      <c r="D473" s="19" t="n"/>
      <c r="E473" s="19" t="n"/>
      <c r="F473" s="20" t="n"/>
      <c r="G473" s="19" t="n"/>
      <c r="H473" s="19" t="n"/>
      <c r="I473" s="19" t="n"/>
      <c r="J473" s="21" t="n"/>
      <c r="K473" s="18">
        <f>IF(D473="","",IF(D473&gt;=70,"YES","no"))</f>
        <v/>
      </c>
    </row>
    <row r="474">
      <c r="A474" s="19" t="n"/>
      <c r="B474" s="19" t="n"/>
      <c r="C474" s="19" t="n"/>
      <c r="D474" s="19" t="n"/>
      <c r="E474" s="19" t="n"/>
      <c r="F474" s="20" t="n"/>
      <c r="G474" s="19" t="n"/>
      <c r="H474" s="19" t="n"/>
      <c r="I474" s="19" t="n"/>
      <c r="J474" s="21" t="n"/>
      <c r="K474" s="18">
        <f>IF(D474="","",IF(D474&gt;=70,"YES","no"))</f>
        <v/>
      </c>
    </row>
    <row r="475">
      <c r="A475" s="19" t="n"/>
      <c r="B475" s="19" t="n"/>
      <c r="C475" s="19" t="n"/>
      <c r="D475" s="19" t="n"/>
      <c r="E475" s="19" t="n"/>
      <c r="F475" s="20" t="n"/>
      <c r="G475" s="19" t="n"/>
      <c r="H475" s="19" t="n"/>
      <c r="I475" s="19" t="n"/>
      <c r="J475" s="21" t="n"/>
      <c r="K475" s="18">
        <f>IF(D475="","",IF(D475&gt;=70,"YES","no"))</f>
        <v/>
      </c>
    </row>
    <row r="476">
      <c r="A476" s="19" t="n"/>
      <c r="B476" s="19" t="n"/>
      <c r="C476" s="19" t="n"/>
      <c r="D476" s="19" t="n"/>
      <c r="E476" s="19" t="n"/>
      <c r="F476" s="20" t="n"/>
      <c r="G476" s="19" t="n"/>
      <c r="H476" s="19" t="n"/>
      <c r="I476" s="19" t="n"/>
      <c r="J476" s="21" t="n"/>
      <c r="K476" s="18">
        <f>IF(D476="","",IF(D476&gt;=70,"YES","no"))</f>
        <v/>
      </c>
    </row>
    <row r="477">
      <c r="A477" s="19" t="n"/>
      <c r="B477" s="19" t="n"/>
      <c r="C477" s="19" t="n"/>
      <c r="D477" s="19" t="n"/>
      <c r="E477" s="19" t="n"/>
      <c r="F477" s="20" t="n"/>
      <c r="G477" s="19" t="n"/>
      <c r="H477" s="19" t="n"/>
      <c r="I477" s="19" t="n"/>
      <c r="J477" s="21" t="n"/>
      <c r="K477" s="18">
        <f>IF(D477="","",IF(D477&gt;=70,"YES","no"))</f>
        <v/>
      </c>
    </row>
    <row r="478">
      <c r="A478" s="19" t="n"/>
      <c r="B478" s="19" t="n"/>
      <c r="C478" s="19" t="n"/>
      <c r="D478" s="19" t="n"/>
      <c r="E478" s="19" t="n"/>
      <c r="F478" s="20" t="n"/>
      <c r="G478" s="19" t="n"/>
      <c r="H478" s="19" t="n"/>
      <c r="I478" s="19" t="n"/>
      <c r="J478" s="21" t="n"/>
      <c r="K478" s="18">
        <f>IF(D478="","",IF(D478&gt;=70,"YES","no"))</f>
        <v/>
      </c>
    </row>
    <row r="479">
      <c r="A479" s="19" t="n"/>
      <c r="B479" s="19" t="n"/>
      <c r="C479" s="19" t="n"/>
      <c r="D479" s="19" t="n"/>
      <c r="E479" s="19" t="n"/>
      <c r="F479" s="20" t="n"/>
      <c r="G479" s="19" t="n"/>
      <c r="H479" s="19" t="n"/>
      <c r="I479" s="19" t="n"/>
      <c r="J479" s="21" t="n"/>
      <c r="K479" s="18">
        <f>IF(D479="","",IF(D479&gt;=70,"YES","no"))</f>
        <v/>
      </c>
    </row>
    <row r="480">
      <c r="A480" s="19" t="n"/>
      <c r="B480" s="19" t="n"/>
      <c r="C480" s="19" t="n"/>
      <c r="D480" s="19" t="n"/>
      <c r="E480" s="19" t="n"/>
      <c r="F480" s="20" t="n"/>
      <c r="G480" s="19" t="n"/>
      <c r="H480" s="19" t="n"/>
      <c r="I480" s="19" t="n"/>
      <c r="J480" s="21" t="n"/>
      <c r="K480" s="18">
        <f>IF(D480="","",IF(D480&gt;=70,"YES","no"))</f>
        <v/>
      </c>
    </row>
    <row r="481">
      <c r="A481" s="19" t="n"/>
      <c r="B481" s="19" t="n"/>
      <c r="C481" s="19" t="n"/>
      <c r="D481" s="19" t="n"/>
      <c r="E481" s="19" t="n"/>
      <c r="F481" s="20" t="n"/>
      <c r="G481" s="19" t="n"/>
      <c r="H481" s="19" t="n"/>
      <c r="I481" s="19" t="n"/>
      <c r="J481" s="21" t="n"/>
      <c r="K481" s="18">
        <f>IF(D481="","",IF(D481&gt;=70,"YES","no"))</f>
        <v/>
      </c>
    </row>
    <row r="482">
      <c r="A482" s="19" t="n"/>
      <c r="B482" s="19" t="n"/>
      <c r="C482" s="19" t="n"/>
      <c r="D482" s="19" t="n"/>
      <c r="E482" s="19" t="n"/>
      <c r="F482" s="20" t="n"/>
      <c r="G482" s="19" t="n"/>
      <c r="H482" s="19" t="n"/>
      <c r="I482" s="19" t="n"/>
      <c r="J482" s="21" t="n"/>
      <c r="K482" s="18">
        <f>IF(D482="","",IF(D482&gt;=70,"YES","no"))</f>
        <v/>
      </c>
    </row>
    <row r="483">
      <c r="A483" s="19" t="n"/>
      <c r="B483" s="19" t="n"/>
      <c r="C483" s="19" t="n"/>
      <c r="D483" s="19" t="n"/>
      <c r="E483" s="19" t="n"/>
      <c r="F483" s="20" t="n"/>
      <c r="G483" s="19" t="n"/>
      <c r="H483" s="19" t="n"/>
      <c r="I483" s="19" t="n"/>
      <c r="J483" s="21" t="n"/>
      <c r="K483" s="18">
        <f>IF(D483="","",IF(D483&gt;=70,"YES","no"))</f>
        <v/>
      </c>
    </row>
    <row r="484">
      <c r="A484" s="19" t="n"/>
      <c r="B484" s="19" t="n"/>
      <c r="C484" s="19" t="n"/>
      <c r="D484" s="19" t="n"/>
      <c r="E484" s="19" t="n"/>
      <c r="F484" s="20" t="n"/>
      <c r="G484" s="19" t="n"/>
      <c r="H484" s="19" t="n"/>
      <c r="I484" s="19" t="n"/>
      <c r="J484" s="21" t="n"/>
      <c r="K484" s="18">
        <f>IF(D484="","",IF(D484&gt;=70,"YES","no"))</f>
        <v/>
      </c>
    </row>
    <row r="485">
      <c r="A485" s="19" t="n"/>
      <c r="B485" s="19" t="n"/>
      <c r="C485" s="19" t="n"/>
      <c r="D485" s="19" t="n"/>
      <c r="E485" s="19" t="n"/>
      <c r="F485" s="20" t="n"/>
      <c r="G485" s="19" t="n"/>
      <c r="H485" s="19" t="n"/>
      <c r="I485" s="19" t="n"/>
      <c r="J485" s="21" t="n"/>
      <c r="K485" s="18">
        <f>IF(D485="","",IF(D485&gt;=70,"YES","no"))</f>
        <v/>
      </c>
    </row>
    <row r="486">
      <c r="A486" s="19" t="n"/>
      <c r="B486" s="19" t="n"/>
      <c r="C486" s="19" t="n"/>
      <c r="D486" s="19" t="n"/>
      <c r="E486" s="19" t="n"/>
      <c r="F486" s="20" t="n"/>
      <c r="G486" s="19" t="n"/>
      <c r="H486" s="19" t="n"/>
      <c r="I486" s="19" t="n"/>
      <c r="J486" s="21" t="n"/>
      <c r="K486" s="18">
        <f>IF(D486="","",IF(D486&gt;=70,"YES","no"))</f>
        <v/>
      </c>
    </row>
    <row r="487">
      <c r="A487" s="19" t="n"/>
      <c r="B487" s="19" t="n"/>
      <c r="C487" s="19" t="n"/>
      <c r="D487" s="19" t="n"/>
      <c r="E487" s="19" t="n"/>
      <c r="F487" s="20" t="n"/>
      <c r="G487" s="19" t="n"/>
      <c r="H487" s="19" t="n"/>
      <c r="I487" s="19" t="n"/>
      <c r="J487" s="21" t="n"/>
      <c r="K487" s="18">
        <f>IF(D487="","",IF(D487&gt;=70,"YES","no"))</f>
        <v/>
      </c>
    </row>
    <row r="488">
      <c r="A488" s="19" t="n"/>
      <c r="B488" s="19" t="n"/>
      <c r="C488" s="19" t="n"/>
      <c r="D488" s="19" t="n"/>
      <c r="E488" s="19" t="n"/>
      <c r="F488" s="20" t="n"/>
      <c r="G488" s="19" t="n"/>
      <c r="H488" s="19" t="n"/>
      <c r="I488" s="19" t="n"/>
      <c r="J488" s="21" t="n"/>
      <c r="K488" s="18">
        <f>IF(D488="","",IF(D488&gt;=70,"YES","no"))</f>
        <v/>
      </c>
    </row>
    <row r="489">
      <c r="A489" s="19" t="n"/>
      <c r="B489" s="19" t="n"/>
      <c r="C489" s="19" t="n"/>
      <c r="D489" s="19" t="n"/>
      <c r="E489" s="19" t="n"/>
      <c r="F489" s="20" t="n"/>
      <c r="G489" s="19" t="n"/>
      <c r="H489" s="19" t="n"/>
      <c r="I489" s="19" t="n"/>
      <c r="J489" s="21" t="n"/>
      <c r="K489" s="18">
        <f>IF(D489="","",IF(D489&gt;=70,"YES","no"))</f>
        <v/>
      </c>
    </row>
    <row r="490">
      <c r="A490" s="19" t="n"/>
      <c r="B490" s="19" t="n"/>
      <c r="C490" s="19" t="n"/>
      <c r="D490" s="19" t="n"/>
      <c r="E490" s="19" t="n"/>
      <c r="F490" s="20" t="n"/>
      <c r="G490" s="19" t="n"/>
      <c r="H490" s="19" t="n"/>
      <c r="I490" s="19" t="n"/>
      <c r="J490" s="21" t="n"/>
      <c r="K490" s="18">
        <f>IF(D490="","",IF(D490&gt;=70,"YES","no"))</f>
        <v/>
      </c>
    </row>
    <row r="491">
      <c r="A491" s="19" t="n"/>
      <c r="B491" s="19" t="n"/>
      <c r="C491" s="19" t="n"/>
      <c r="D491" s="19" t="n"/>
      <c r="E491" s="19" t="n"/>
      <c r="F491" s="20" t="n"/>
      <c r="G491" s="19" t="n"/>
      <c r="H491" s="19" t="n"/>
      <c r="I491" s="19" t="n"/>
      <c r="J491" s="21" t="n"/>
      <c r="K491" s="18">
        <f>IF(D491="","",IF(D491&gt;=70,"YES","no"))</f>
        <v/>
      </c>
    </row>
    <row r="492">
      <c r="A492" s="19" t="n"/>
      <c r="B492" s="19" t="n"/>
      <c r="C492" s="19" t="n"/>
      <c r="D492" s="19" t="n"/>
      <c r="E492" s="19" t="n"/>
      <c r="F492" s="20" t="n"/>
      <c r="G492" s="19" t="n"/>
      <c r="H492" s="19" t="n"/>
      <c r="I492" s="19" t="n"/>
      <c r="J492" s="21" t="n"/>
      <c r="K492" s="18">
        <f>IF(D492="","",IF(D492&gt;=70,"YES","no"))</f>
        <v/>
      </c>
    </row>
    <row r="493">
      <c r="A493" s="19" t="n"/>
      <c r="B493" s="19" t="n"/>
      <c r="C493" s="19" t="n"/>
      <c r="D493" s="19" t="n"/>
      <c r="E493" s="19" t="n"/>
      <c r="F493" s="20" t="n"/>
      <c r="G493" s="19" t="n"/>
      <c r="H493" s="19" t="n"/>
      <c r="I493" s="19" t="n"/>
      <c r="J493" s="21" t="n"/>
      <c r="K493" s="18">
        <f>IF(D493="","",IF(D493&gt;=70,"YES","no"))</f>
        <v/>
      </c>
    </row>
    <row r="494">
      <c r="A494" s="19" t="n"/>
      <c r="B494" s="19" t="n"/>
      <c r="C494" s="19" t="n"/>
      <c r="D494" s="19" t="n"/>
      <c r="E494" s="19" t="n"/>
      <c r="F494" s="20" t="n"/>
      <c r="G494" s="19" t="n"/>
      <c r="H494" s="19" t="n"/>
      <c r="I494" s="19" t="n"/>
      <c r="J494" s="21" t="n"/>
      <c r="K494" s="18">
        <f>IF(D494="","",IF(D494&gt;=70,"YES","no"))</f>
        <v/>
      </c>
    </row>
    <row r="495">
      <c r="A495" s="19" t="n"/>
      <c r="B495" s="19" t="n"/>
      <c r="C495" s="19" t="n"/>
      <c r="D495" s="19" t="n"/>
      <c r="E495" s="19" t="n"/>
      <c r="F495" s="20" t="n"/>
      <c r="G495" s="19" t="n"/>
      <c r="H495" s="19" t="n"/>
      <c r="I495" s="19" t="n"/>
      <c r="J495" s="21" t="n"/>
      <c r="K495" s="18">
        <f>IF(D495="","",IF(D495&gt;=70,"YES","no"))</f>
        <v/>
      </c>
    </row>
    <row r="496">
      <c r="A496" s="19" t="n"/>
      <c r="B496" s="19" t="n"/>
      <c r="C496" s="19" t="n"/>
      <c r="D496" s="19" t="n"/>
      <c r="E496" s="19" t="n"/>
      <c r="F496" s="20" t="n"/>
      <c r="G496" s="19" t="n"/>
      <c r="H496" s="19" t="n"/>
      <c r="I496" s="19" t="n"/>
      <c r="J496" s="21" t="n"/>
      <c r="K496" s="18">
        <f>IF(D496="","",IF(D496&gt;=70,"YES","no"))</f>
        <v/>
      </c>
    </row>
    <row r="497">
      <c r="A497" s="19" t="n"/>
      <c r="B497" s="19" t="n"/>
      <c r="C497" s="19" t="n"/>
      <c r="D497" s="19" t="n"/>
      <c r="E497" s="19" t="n"/>
      <c r="F497" s="20" t="n"/>
      <c r="G497" s="19" t="n"/>
      <c r="H497" s="19" t="n"/>
      <c r="I497" s="19" t="n"/>
      <c r="J497" s="21" t="n"/>
      <c r="K497" s="18">
        <f>IF(D497="","",IF(D497&gt;=70,"YES","no"))</f>
        <v/>
      </c>
    </row>
    <row r="498">
      <c r="A498" s="19" t="n"/>
      <c r="B498" s="19" t="n"/>
      <c r="C498" s="19" t="n"/>
      <c r="D498" s="19" t="n"/>
      <c r="E498" s="19" t="n"/>
      <c r="F498" s="20" t="n"/>
      <c r="G498" s="19" t="n"/>
      <c r="H498" s="19" t="n"/>
      <c r="I498" s="19" t="n"/>
      <c r="J498" s="21" t="n"/>
      <c r="K498" s="18">
        <f>IF(D498="","",IF(D498&gt;=70,"YES","no"))</f>
        <v/>
      </c>
    </row>
    <row r="499">
      <c r="A499" s="19" t="n"/>
      <c r="B499" s="19" t="n"/>
      <c r="C499" s="19" t="n"/>
      <c r="D499" s="19" t="n"/>
      <c r="E499" s="19" t="n"/>
      <c r="F499" s="20" t="n"/>
      <c r="G499" s="19" t="n"/>
      <c r="H499" s="19" t="n"/>
      <c r="I499" s="19" t="n"/>
      <c r="J499" s="21" t="n"/>
      <c r="K499" s="18">
        <f>IF(D499="","",IF(D499&gt;=70,"YES","no"))</f>
        <v/>
      </c>
    </row>
    <row r="500">
      <c r="A500" s="19" t="n"/>
      <c r="B500" s="19" t="n"/>
      <c r="C500" s="19" t="n"/>
      <c r="D500" s="19" t="n"/>
      <c r="E500" s="19" t="n"/>
      <c r="F500" s="20" t="n"/>
      <c r="G500" s="19" t="n"/>
      <c r="H500" s="19" t="n"/>
      <c r="I500" s="19" t="n"/>
      <c r="J500" s="21" t="n"/>
      <c r="K500" s="18">
        <f>IF(D500="","",IF(D500&gt;=70,"YES","no"))</f>
        <v/>
      </c>
    </row>
    <row r="501">
      <c r="A501" s="19" t="n"/>
      <c r="B501" s="19" t="n"/>
      <c r="C501" s="19" t="n"/>
      <c r="D501" s="19" t="n"/>
      <c r="E501" s="19" t="n"/>
      <c r="F501" s="20" t="n"/>
      <c r="G501" s="19" t="n"/>
      <c r="H501" s="19" t="n"/>
      <c r="I501" s="19" t="n"/>
      <c r="J501" s="21" t="n"/>
      <c r="K501" s="18">
        <f>IF(D501="","",IF(D501&gt;=70,"YES","no"))</f>
        <v/>
      </c>
    </row>
  </sheetData>
  <autoFilter ref="A1:K501"/>
  <dataValidations count="1">
    <dataValidation sqref="H2:H501" showDropDown="0" showInputMessage="0" showErrorMessage="0" allowBlank="1" type="list">
      <formula1>"Dofollow,Nofollow,UGC,Sponsored"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6" customWidth="1" min="3" max="3"/>
    <col width="10" customWidth="1" min="4" max="4"/>
    <col width="34" customWidth="1" min="5" max="5"/>
    <col width="34" customWidth="1" min="6" max="6"/>
    <col width="12" customWidth="1" min="7" max="7"/>
    <col width="13" customWidth="1" min="8" max="8"/>
    <col width="13" customWidth="1" min="9" max="9"/>
    <col width="13" customWidth="1" min="10" max="10"/>
    <col width="13" customWidth="1" min="11" max="11"/>
    <col width="30" customWidth="1" min="12" max="12"/>
  </cols>
  <sheetData>
    <row r="1" ht="32" customHeight="1">
      <c r="A1" s="14" t="inlineStr">
        <is>
          <t>Website</t>
        </is>
      </c>
      <c r="B1" s="14" t="inlineStr">
        <is>
          <t>Contact Name</t>
        </is>
      </c>
      <c r="C1" s="14" t="inlineStr">
        <is>
          <t>Contact Email</t>
        </is>
      </c>
      <c r="D1" s="14" t="inlineStr">
        <is>
          <t>Language</t>
        </is>
      </c>
      <c r="E1" s="14" t="inlineStr">
        <is>
          <t>Subject</t>
        </is>
      </c>
      <c r="F1" s="14" t="inlineStr">
        <is>
          <t>Article Idea</t>
        </is>
      </c>
      <c r="G1" s="14" t="inlineStr">
        <is>
          <t>Sent Date</t>
        </is>
      </c>
      <c r="H1" s="14" t="inlineStr">
        <is>
          <t>Follow-up Day 3</t>
        </is>
      </c>
      <c r="I1" s="14" t="inlineStr">
        <is>
          <t>Follow-up Day 7</t>
        </is>
      </c>
      <c r="J1" s="14" t="inlineStr">
        <is>
          <t>Follow-up Day 14</t>
        </is>
      </c>
      <c r="K1" s="14" t="inlineStr">
        <is>
          <t>Reply Status</t>
        </is>
      </c>
      <c r="L1" s="14" t="inlineStr">
        <is>
          <t>Next Action</t>
        </is>
      </c>
    </row>
    <row r="2">
      <c r="A2" s="15" t="inlineStr">
        <is>
          <t>dramafansmag.example</t>
        </is>
      </c>
      <c r="B2" s="15" t="inlineStr">
        <is>
          <t>Mia</t>
        </is>
      </c>
      <c r="C2" s="15" t="inlineStr">
        <is>
          <t>editor@dramafansmag.example</t>
        </is>
      </c>
      <c r="D2" s="15" t="inlineStr">
        <is>
          <t>English</t>
        </is>
      </c>
      <c r="E2" s="15" t="inlineStr">
        <is>
          <t>Guest article idea for Drama Fans Mag: hidden-gem historical C-dramas</t>
        </is>
      </c>
      <c r="F2" s="15" t="inlineStr">
        <is>
          <t>Hidden Gem Chinese Historical Dramas</t>
        </is>
      </c>
      <c r="G2" s="17" t="n">
        <v>46290</v>
      </c>
      <c r="H2" s="22">
        <f>IF(G2="","",G2+3)</f>
        <v/>
      </c>
      <c r="I2" s="22">
        <f>IF(G2="","",G2+7)</f>
        <v/>
      </c>
      <c r="J2" s="22">
        <f>IF(G2="","",G2+14)</f>
        <v/>
      </c>
      <c r="K2" s="15" t="inlineStr">
        <is>
          <t>Waiting</t>
        </is>
      </c>
      <c r="L2" s="15" t="inlineStr">
        <is>
          <t>Send Day 3 follow-up</t>
        </is>
      </c>
    </row>
    <row r="3">
      <c r="A3" s="19" t="n"/>
      <c r="B3" s="19" t="n"/>
      <c r="C3" s="19" t="n"/>
      <c r="D3" s="19" t="n"/>
      <c r="E3" s="19" t="n"/>
      <c r="F3" s="19" t="n"/>
      <c r="G3" s="21" t="n"/>
      <c r="H3" s="22">
        <f>IF(G3="","",G3+3)</f>
        <v/>
      </c>
      <c r="I3" s="22">
        <f>IF(G3="","",G3+7)</f>
        <v/>
      </c>
      <c r="J3" s="22">
        <f>IF(G3="","",G3+14)</f>
        <v/>
      </c>
      <c r="K3" s="19" t="n"/>
      <c r="L3" s="19" t="n"/>
    </row>
    <row r="4">
      <c r="A4" s="19" t="n"/>
      <c r="B4" s="19" t="n"/>
      <c r="C4" s="19" t="n"/>
      <c r="D4" s="19" t="n"/>
      <c r="E4" s="19" t="n"/>
      <c r="F4" s="19" t="n"/>
      <c r="G4" s="21" t="n"/>
      <c r="H4" s="22">
        <f>IF(G4="","",G4+3)</f>
        <v/>
      </c>
      <c r="I4" s="22">
        <f>IF(G4="","",G4+7)</f>
        <v/>
      </c>
      <c r="J4" s="22">
        <f>IF(G4="","",G4+14)</f>
        <v/>
      </c>
      <c r="K4" s="19" t="n"/>
      <c r="L4" s="19" t="n"/>
    </row>
    <row r="5">
      <c r="A5" s="19" t="n"/>
      <c r="B5" s="19" t="n"/>
      <c r="C5" s="19" t="n"/>
      <c r="D5" s="19" t="n"/>
      <c r="E5" s="19" t="n"/>
      <c r="F5" s="19" t="n"/>
      <c r="G5" s="21" t="n"/>
      <c r="H5" s="22">
        <f>IF(G5="","",G5+3)</f>
        <v/>
      </c>
      <c r="I5" s="22">
        <f>IF(G5="","",G5+7)</f>
        <v/>
      </c>
      <c r="J5" s="22">
        <f>IF(G5="","",G5+14)</f>
        <v/>
      </c>
      <c r="K5" s="19" t="n"/>
      <c r="L5" s="19" t="n"/>
    </row>
    <row r="6">
      <c r="A6" s="19" t="n"/>
      <c r="B6" s="19" t="n"/>
      <c r="C6" s="19" t="n"/>
      <c r="D6" s="19" t="n"/>
      <c r="E6" s="19" t="n"/>
      <c r="F6" s="19" t="n"/>
      <c r="G6" s="21" t="n"/>
      <c r="H6" s="22">
        <f>IF(G6="","",G6+3)</f>
        <v/>
      </c>
      <c r="I6" s="22">
        <f>IF(G6="","",G6+7)</f>
        <v/>
      </c>
      <c r="J6" s="22">
        <f>IF(G6="","",G6+14)</f>
        <v/>
      </c>
      <c r="K6" s="19" t="n"/>
      <c r="L6" s="19" t="n"/>
    </row>
    <row r="7">
      <c r="A7" s="19" t="n"/>
      <c r="B7" s="19" t="n"/>
      <c r="C7" s="19" t="n"/>
      <c r="D7" s="19" t="n"/>
      <c r="E7" s="19" t="n"/>
      <c r="F7" s="19" t="n"/>
      <c r="G7" s="21" t="n"/>
      <c r="H7" s="22">
        <f>IF(G7="","",G7+3)</f>
        <v/>
      </c>
      <c r="I7" s="22">
        <f>IF(G7="","",G7+7)</f>
        <v/>
      </c>
      <c r="J7" s="22">
        <f>IF(G7="","",G7+14)</f>
        <v/>
      </c>
      <c r="K7" s="19" t="n"/>
      <c r="L7" s="19" t="n"/>
    </row>
    <row r="8">
      <c r="A8" s="19" t="n"/>
      <c r="B8" s="19" t="n"/>
      <c r="C8" s="19" t="n"/>
      <c r="D8" s="19" t="n"/>
      <c r="E8" s="19" t="n"/>
      <c r="F8" s="19" t="n"/>
      <c r="G8" s="21" t="n"/>
      <c r="H8" s="22">
        <f>IF(G8="","",G8+3)</f>
        <v/>
      </c>
      <c r="I8" s="22">
        <f>IF(G8="","",G8+7)</f>
        <v/>
      </c>
      <c r="J8" s="22">
        <f>IF(G8="","",G8+14)</f>
        <v/>
      </c>
      <c r="K8" s="19" t="n"/>
      <c r="L8" s="19" t="n"/>
    </row>
    <row r="9">
      <c r="A9" s="19" t="n"/>
      <c r="B9" s="19" t="n"/>
      <c r="C9" s="19" t="n"/>
      <c r="D9" s="19" t="n"/>
      <c r="E9" s="19" t="n"/>
      <c r="F9" s="19" t="n"/>
      <c r="G9" s="21" t="n"/>
      <c r="H9" s="22">
        <f>IF(G9="","",G9+3)</f>
        <v/>
      </c>
      <c r="I9" s="22">
        <f>IF(G9="","",G9+7)</f>
        <v/>
      </c>
      <c r="J9" s="22">
        <f>IF(G9="","",G9+14)</f>
        <v/>
      </c>
      <c r="K9" s="19" t="n"/>
      <c r="L9" s="19" t="n"/>
    </row>
    <row r="10">
      <c r="A10" s="19" t="n"/>
      <c r="B10" s="19" t="n"/>
      <c r="C10" s="19" t="n"/>
      <c r="D10" s="19" t="n"/>
      <c r="E10" s="19" t="n"/>
      <c r="F10" s="19" t="n"/>
      <c r="G10" s="21" t="n"/>
      <c r="H10" s="22">
        <f>IF(G10="","",G10+3)</f>
        <v/>
      </c>
      <c r="I10" s="22">
        <f>IF(G10="","",G10+7)</f>
        <v/>
      </c>
      <c r="J10" s="22">
        <f>IF(G10="","",G10+14)</f>
        <v/>
      </c>
      <c r="K10" s="19" t="n"/>
      <c r="L10" s="19" t="n"/>
    </row>
    <row r="11">
      <c r="A11" s="19" t="n"/>
      <c r="B11" s="19" t="n"/>
      <c r="C11" s="19" t="n"/>
      <c r="D11" s="19" t="n"/>
      <c r="E11" s="19" t="n"/>
      <c r="F11" s="19" t="n"/>
      <c r="G11" s="21" t="n"/>
      <c r="H11" s="22">
        <f>IF(G11="","",G11+3)</f>
        <v/>
      </c>
      <c r="I11" s="22">
        <f>IF(G11="","",G11+7)</f>
        <v/>
      </c>
      <c r="J11" s="22">
        <f>IF(G11="","",G11+14)</f>
        <v/>
      </c>
      <c r="K11" s="19" t="n"/>
      <c r="L11" s="19" t="n"/>
    </row>
    <row r="12">
      <c r="A12" s="19" t="n"/>
      <c r="B12" s="19" t="n"/>
      <c r="C12" s="19" t="n"/>
      <c r="D12" s="19" t="n"/>
      <c r="E12" s="19" t="n"/>
      <c r="F12" s="19" t="n"/>
      <c r="G12" s="21" t="n"/>
      <c r="H12" s="22">
        <f>IF(G12="","",G12+3)</f>
        <v/>
      </c>
      <c r="I12" s="22">
        <f>IF(G12="","",G12+7)</f>
        <v/>
      </c>
      <c r="J12" s="22">
        <f>IF(G12="","",G12+14)</f>
        <v/>
      </c>
      <c r="K12" s="19" t="n"/>
      <c r="L12" s="19" t="n"/>
    </row>
    <row r="13">
      <c r="A13" s="19" t="n"/>
      <c r="B13" s="19" t="n"/>
      <c r="C13" s="19" t="n"/>
      <c r="D13" s="19" t="n"/>
      <c r="E13" s="19" t="n"/>
      <c r="F13" s="19" t="n"/>
      <c r="G13" s="21" t="n"/>
      <c r="H13" s="22">
        <f>IF(G13="","",G13+3)</f>
        <v/>
      </c>
      <c r="I13" s="22">
        <f>IF(G13="","",G13+7)</f>
        <v/>
      </c>
      <c r="J13" s="22">
        <f>IF(G13="","",G13+14)</f>
        <v/>
      </c>
      <c r="K13" s="19" t="n"/>
      <c r="L13" s="19" t="n"/>
    </row>
    <row r="14">
      <c r="A14" s="19" t="n"/>
      <c r="B14" s="19" t="n"/>
      <c r="C14" s="19" t="n"/>
      <c r="D14" s="19" t="n"/>
      <c r="E14" s="19" t="n"/>
      <c r="F14" s="19" t="n"/>
      <c r="G14" s="21" t="n"/>
      <c r="H14" s="22">
        <f>IF(G14="","",G14+3)</f>
        <v/>
      </c>
      <c r="I14" s="22">
        <f>IF(G14="","",G14+7)</f>
        <v/>
      </c>
      <c r="J14" s="22">
        <f>IF(G14="","",G14+14)</f>
        <v/>
      </c>
      <c r="K14" s="19" t="n"/>
      <c r="L14" s="19" t="n"/>
    </row>
    <row r="15">
      <c r="A15" s="19" t="n"/>
      <c r="B15" s="19" t="n"/>
      <c r="C15" s="19" t="n"/>
      <c r="D15" s="19" t="n"/>
      <c r="E15" s="19" t="n"/>
      <c r="F15" s="19" t="n"/>
      <c r="G15" s="21" t="n"/>
      <c r="H15" s="22">
        <f>IF(G15="","",G15+3)</f>
        <v/>
      </c>
      <c r="I15" s="22">
        <f>IF(G15="","",G15+7)</f>
        <v/>
      </c>
      <c r="J15" s="22">
        <f>IF(G15="","",G15+14)</f>
        <v/>
      </c>
      <c r="K15" s="19" t="n"/>
      <c r="L15" s="19" t="n"/>
    </row>
    <row r="16">
      <c r="A16" s="19" t="n"/>
      <c r="B16" s="19" t="n"/>
      <c r="C16" s="19" t="n"/>
      <c r="D16" s="19" t="n"/>
      <c r="E16" s="19" t="n"/>
      <c r="F16" s="19" t="n"/>
      <c r="G16" s="21" t="n"/>
      <c r="H16" s="22">
        <f>IF(G16="","",G16+3)</f>
        <v/>
      </c>
      <c r="I16" s="22">
        <f>IF(G16="","",G16+7)</f>
        <v/>
      </c>
      <c r="J16" s="22">
        <f>IF(G16="","",G16+14)</f>
        <v/>
      </c>
      <c r="K16" s="19" t="n"/>
      <c r="L16" s="19" t="n"/>
    </row>
    <row r="17">
      <c r="A17" s="19" t="n"/>
      <c r="B17" s="19" t="n"/>
      <c r="C17" s="19" t="n"/>
      <c r="D17" s="19" t="n"/>
      <c r="E17" s="19" t="n"/>
      <c r="F17" s="19" t="n"/>
      <c r="G17" s="21" t="n"/>
      <c r="H17" s="22">
        <f>IF(G17="","",G17+3)</f>
        <v/>
      </c>
      <c r="I17" s="22">
        <f>IF(G17="","",G17+7)</f>
        <v/>
      </c>
      <c r="J17" s="22">
        <f>IF(G17="","",G17+14)</f>
        <v/>
      </c>
      <c r="K17" s="19" t="n"/>
      <c r="L17" s="19" t="n"/>
    </row>
    <row r="18">
      <c r="A18" s="19" t="n"/>
      <c r="B18" s="19" t="n"/>
      <c r="C18" s="19" t="n"/>
      <c r="D18" s="19" t="n"/>
      <c r="E18" s="19" t="n"/>
      <c r="F18" s="19" t="n"/>
      <c r="G18" s="21" t="n"/>
      <c r="H18" s="22">
        <f>IF(G18="","",G18+3)</f>
        <v/>
      </c>
      <c r="I18" s="22">
        <f>IF(G18="","",G18+7)</f>
        <v/>
      </c>
      <c r="J18" s="22">
        <f>IF(G18="","",G18+14)</f>
        <v/>
      </c>
      <c r="K18" s="19" t="n"/>
      <c r="L18" s="19" t="n"/>
    </row>
    <row r="19">
      <c r="A19" s="19" t="n"/>
      <c r="B19" s="19" t="n"/>
      <c r="C19" s="19" t="n"/>
      <c r="D19" s="19" t="n"/>
      <c r="E19" s="19" t="n"/>
      <c r="F19" s="19" t="n"/>
      <c r="G19" s="21" t="n"/>
      <c r="H19" s="22">
        <f>IF(G19="","",G19+3)</f>
        <v/>
      </c>
      <c r="I19" s="22">
        <f>IF(G19="","",G19+7)</f>
        <v/>
      </c>
      <c r="J19" s="22">
        <f>IF(G19="","",G19+14)</f>
        <v/>
      </c>
      <c r="K19" s="19" t="n"/>
      <c r="L19" s="19" t="n"/>
    </row>
    <row r="20">
      <c r="A20" s="19" t="n"/>
      <c r="B20" s="19" t="n"/>
      <c r="C20" s="19" t="n"/>
      <c r="D20" s="19" t="n"/>
      <c r="E20" s="19" t="n"/>
      <c r="F20" s="19" t="n"/>
      <c r="G20" s="21" t="n"/>
      <c r="H20" s="22">
        <f>IF(G20="","",G20+3)</f>
        <v/>
      </c>
      <c r="I20" s="22">
        <f>IF(G20="","",G20+7)</f>
        <v/>
      </c>
      <c r="J20" s="22">
        <f>IF(G20="","",G20+14)</f>
        <v/>
      </c>
      <c r="K20" s="19" t="n"/>
      <c r="L20" s="19" t="n"/>
    </row>
    <row r="21">
      <c r="A21" s="19" t="n"/>
      <c r="B21" s="19" t="n"/>
      <c r="C21" s="19" t="n"/>
      <c r="D21" s="19" t="n"/>
      <c r="E21" s="19" t="n"/>
      <c r="F21" s="19" t="n"/>
      <c r="G21" s="21" t="n"/>
      <c r="H21" s="22">
        <f>IF(G21="","",G21+3)</f>
        <v/>
      </c>
      <c r="I21" s="22">
        <f>IF(G21="","",G21+7)</f>
        <v/>
      </c>
      <c r="J21" s="22">
        <f>IF(G21="","",G21+14)</f>
        <v/>
      </c>
      <c r="K21" s="19" t="n"/>
      <c r="L21" s="19" t="n"/>
    </row>
    <row r="22">
      <c r="A22" s="19" t="n"/>
      <c r="B22" s="19" t="n"/>
      <c r="C22" s="19" t="n"/>
      <c r="D22" s="19" t="n"/>
      <c r="E22" s="19" t="n"/>
      <c r="F22" s="19" t="n"/>
      <c r="G22" s="21" t="n"/>
      <c r="H22" s="22">
        <f>IF(G22="","",G22+3)</f>
        <v/>
      </c>
      <c r="I22" s="22">
        <f>IF(G22="","",G22+7)</f>
        <v/>
      </c>
      <c r="J22" s="22">
        <f>IF(G22="","",G22+14)</f>
        <v/>
      </c>
      <c r="K22" s="19" t="n"/>
      <c r="L22" s="19" t="n"/>
    </row>
    <row r="23">
      <c r="A23" s="19" t="n"/>
      <c r="B23" s="19" t="n"/>
      <c r="C23" s="19" t="n"/>
      <c r="D23" s="19" t="n"/>
      <c r="E23" s="19" t="n"/>
      <c r="F23" s="19" t="n"/>
      <c r="G23" s="21" t="n"/>
      <c r="H23" s="22">
        <f>IF(G23="","",G23+3)</f>
        <v/>
      </c>
      <c r="I23" s="22">
        <f>IF(G23="","",G23+7)</f>
        <v/>
      </c>
      <c r="J23" s="22">
        <f>IF(G23="","",G23+14)</f>
        <v/>
      </c>
      <c r="K23" s="19" t="n"/>
      <c r="L23" s="19" t="n"/>
    </row>
    <row r="24">
      <c r="A24" s="19" t="n"/>
      <c r="B24" s="19" t="n"/>
      <c r="C24" s="19" t="n"/>
      <c r="D24" s="19" t="n"/>
      <c r="E24" s="19" t="n"/>
      <c r="F24" s="19" t="n"/>
      <c r="G24" s="21" t="n"/>
      <c r="H24" s="22">
        <f>IF(G24="","",G24+3)</f>
        <v/>
      </c>
      <c r="I24" s="22">
        <f>IF(G24="","",G24+7)</f>
        <v/>
      </c>
      <c r="J24" s="22">
        <f>IF(G24="","",G24+14)</f>
        <v/>
      </c>
      <c r="K24" s="19" t="n"/>
      <c r="L24" s="19" t="n"/>
    </row>
    <row r="25">
      <c r="A25" s="19" t="n"/>
      <c r="B25" s="19" t="n"/>
      <c r="C25" s="19" t="n"/>
      <c r="D25" s="19" t="n"/>
      <c r="E25" s="19" t="n"/>
      <c r="F25" s="19" t="n"/>
      <c r="G25" s="21" t="n"/>
      <c r="H25" s="22">
        <f>IF(G25="","",G25+3)</f>
        <v/>
      </c>
      <c r="I25" s="22">
        <f>IF(G25="","",G25+7)</f>
        <v/>
      </c>
      <c r="J25" s="22">
        <f>IF(G25="","",G25+14)</f>
        <v/>
      </c>
      <c r="K25" s="19" t="n"/>
      <c r="L25" s="19" t="n"/>
    </row>
    <row r="26">
      <c r="A26" s="19" t="n"/>
      <c r="B26" s="19" t="n"/>
      <c r="C26" s="19" t="n"/>
      <c r="D26" s="19" t="n"/>
      <c r="E26" s="19" t="n"/>
      <c r="F26" s="19" t="n"/>
      <c r="G26" s="21" t="n"/>
      <c r="H26" s="22">
        <f>IF(G26="","",G26+3)</f>
        <v/>
      </c>
      <c r="I26" s="22">
        <f>IF(G26="","",G26+7)</f>
        <v/>
      </c>
      <c r="J26" s="22">
        <f>IF(G26="","",G26+14)</f>
        <v/>
      </c>
      <c r="K26" s="19" t="n"/>
      <c r="L26" s="19" t="n"/>
    </row>
    <row r="27">
      <c r="A27" s="19" t="n"/>
      <c r="B27" s="19" t="n"/>
      <c r="C27" s="19" t="n"/>
      <c r="D27" s="19" t="n"/>
      <c r="E27" s="19" t="n"/>
      <c r="F27" s="19" t="n"/>
      <c r="G27" s="21" t="n"/>
      <c r="H27" s="22">
        <f>IF(G27="","",G27+3)</f>
        <v/>
      </c>
      <c r="I27" s="22">
        <f>IF(G27="","",G27+7)</f>
        <v/>
      </c>
      <c r="J27" s="22">
        <f>IF(G27="","",G27+14)</f>
        <v/>
      </c>
      <c r="K27" s="19" t="n"/>
      <c r="L27" s="19" t="n"/>
    </row>
    <row r="28">
      <c r="A28" s="19" t="n"/>
      <c r="B28" s="19" t="n"/>
      <c r="C28" s="19" t="n"/>
      <c r="D28" s="19" t="n"/>
      <c r="E28" s="19" t="n"/>
      <c r="F28" s="19" t="n"/>
      <c r="G28" s="21" t="n"/>
      <c r="H28" s="22">
        <f>IF(G28="","",G28+3)</f>
        <v/>
      </c>
      <c r="I28" s="22">
        <f>IF(G28="","",G28+7)</f>
        <v/>
      </c>
      <c r="J28" s="22">
        <f>IF(G28="","",G28+14)</f>
        <v/>
      </c>
      <c r="K28" s="19" t="n"/>
      <c r="L28" s="19" t="n"/>
    </row>
    <row r="29">
      <c r="A29" s="19" t="n"/>
      <c r="B29" s="19" t="n"/>
      <c r="C29" s="19" t="n"/>
      <c r="D29" s="19" t="n"/>
      <c r="E29" s="19" t="n"/>
      <c r="F29" s="19" t="n"/>
      <c r="G29" s="21" t="n"/>
      <c r="H29" s="22">
        <f>IF(G29="","",G29+3)</f>
        <v/>
      </c>
      <c r="I29" s="22">
        <f>IF(G29="","",G29+7)</f>
        <v/>
      </c>
      <c r="J29" s="22">
        <f>IF(G29="","",G29+14)</f>
        <v/>
      </c>
      <c r="K29" s="19" t="n"/>
      <c r="L29" s="19" t="n"/>
    </row>
    <row r="30">
      <c r="A30" s="19" t="n"/>
      <c r="B30" s="19" t="n"/>
      <c r="C30" s="19" t="n"/>
      <c r="D30" s="19" t="n"/>
      <c r="E30" s="19" t="n"/>
      <c r="F30" s="19" t="n"/>
      <c r="G30" s="21" t="n"/>
      <c r="H30" s="22">
        <f>IF(G30="","",G30+3)</f>
        <v/>
      </c>
      <c r="I30" s="22">
        <f>IF(G30="","",G30+7)</f>
        <v/>
      </c>
      <c r="J30" s="22">
        <f>IF(G30="","",G30+14)</f>
        <v/>
      </c>
      <c r="K30" s="19" t="n"/>
      <c r="L30" s="19" t="n"/>
    </row>
    <row r="31">
      <c r="A31" s="19" t="n"/>
      <c r="B31" s="19" t="n"/>
      <c r="C31" s="19" t="n"/>
      <c r="D31" s="19" t="n"/>
      <c r="E31" s="19" t="n"/>
      <c r="F31" s="19" t="n"/>
      <c r="G31" s="21" t="n"/>
      <c r="H31" s="22">
        <f>IF(G31="","",G31+3)</f>
        <v/>
      </c>
      <c r="I31" s="22">
        <f>IF(G31="","",G31+7)</f>
        <v/>
      </c>
      <c r="J31" s="22">
        <f>IF(G31="","",G31+14)</f>
        <v/>
      </c>
      <c r="K31" s="19" t="n"/>
      <c r="L31" s="19" t="n"/>
    </row>
    <row r="32">
      <c r="A32" s="19" t="n"/>
      <c r="B32" s="19" t="n"/>
      <c r="C32" s="19" t="n"/>
      <c r="D32" s="19" t="n"/>
      <c r="E32" s="19" t="n"/>
      <c r="F32" s="19" t="n"/>
      <c r="G32" s="21" t="n"/>
      <c r="H32" s="22">
        <f>IF(G32="","",G32+3)</f>
        <v/>
      </c>
      <c r="I32" s="22">
        <f>IF(G32="","",G32+7)</f>
        <v/>
      </c>
      <c r="J32" s="22">
        <f>IF(G32="","",G32+14)</f>
        <v/>
      </c>
      <c r="K32" s="19" t="n"/>
      <c r="L32" s="19" t="n"/>
    </row>
    <row r="33">
      <c r="A33" s="19" t="n"/>
      <c r="B33" s="19" t="n"/>
      <c r="C33" s="19" t="n"/>
      <c r="D33" s="19" t="n"/>
      <c r="E33" s="19" t="n"/>
      <c r="F33" s="19" t="n"/>
      <c r="G33" s="21" t="n"/>
      <c r="H33" s="22">
        <f>IF(G33="","",G33+3)</f>
        <v/>
      </c>
      <c r="I33" s="22">
        <f>IF(G33="","",G33+7)</f>
        <v/>
      </c>
      <c r="J33" s="22">
        <f>IF(G33="","",G33+14)</f>
        <v/>
      </c>
      <c r="K33" s="19" t="n"/>
      <c r="L33" s="19" t="n"/>
    </row>
    <row r="34">
      <c r="A34" s="19" t="n"/>
      <c r="B34" s="19" t="n"/>
      <c r="C34" s="19" t="n"/>
      <c r="D34" s="19" t="n"/>
      <c r="E34" s="19" t="n"/>
      <c r="F34" s="19" t="n"/>
      <c r="G34" s="21" t="n"/>
      <c r="H34" s="22">
        <f>IF(G34="","",G34+3)</f>
        <v/>
      </c>
      <c r="I34" s="22">
        <f>IF(G34="","",G34+7)</f>
        <v/>
      </c>
      <c r="J34" s="22">
        <f>IF(G34="","",G34+14)</f>
        <v/>
      </c>
      <c r="K34" s="19" t="n"/>
      <c r="L34" s="19" t="n"/>
    </row>
    <row r="35">
      <c r="A35" s="19" t="n"/>
      <c r="B35" s="19" t="n"/>
      <c r="C35" s="19" t="n"/>
      <c r="D35" s="19" t="n"/>
      <c r="E35" s="19" t="n"/>
      <c r="F35" s="19" t="n"/>
      <c r="G35" s="21" t="n"/>
      <c r="H35" s="22">
        <f>IF(G35="","",G35+3)</f>
        <v/>
      </c>
      <c r="I35" s="22">
        <f>IF(G35="","",G35+7)</f>
        <v/>
      </c>
      <c r="J35" s="22">
        <f>IF(G35="","",G35+14)</f>
        <v/>
      </c>
      <c r="K35" s="19" t="n"/>
      <c r="L35" s="19" t="n"/>
    </row>
    <row r="36">
      <c r="A36" s="19" t="n"/>
      <c r="B36" s="19" t="n"/>
      <c r="C36" s="19" t="n"/>
      <c r="D36" s="19" t="n"/>
      <c r="E36" s="19" t="n"/>
      <c r="F36" s="19" t="n"/>
      <c r="G36" s="21" t="n"/>
      <c r="H36" s="22">
        <f>IF(G36="","",G36+3)</f>
        <v/>
      </c>
      <c r="I36" s="22">
        <f>IF(G36="","",G36+7)</f>
        <v/>
      </c>
      <c r="J36" s="22">
        <f>IF(G36="","",G36+14)</f>
        <v/>
      </c>
      <c r="K36" s="19" t="n"/>
      <c r="L36" s="19" t="n"/>
    </row>
    <row r="37">
      <c r="A37" s="19" t="n"/>
      <c r="B37" s="19" t="n"/>
      <c r="C37" s="19" t="n"/>
      <c r="D37" s="19" t="n"/>
      <c r="E37" s="19" t="n"/>
      <c r="F37" s="19" t="n"/>
      <c r="G37" s="21" t="n"/>
      <c r="H37" s="22">
        <f>IF(G37="","",G37+3)</f>
        <v/>
      </c>
      <c r="I37" s="22">
        <f>IF(G37="","",G37+7)</f>
        <v/>
      </c>
      <c r="J37" s="22">
        <f>IF(G37="","",G37+14)</f>
        <v/>
      </c>
      <c r="K37" s="19" t="n"/>
      <c r="L37" s="19" t="n"/>
    </row>
    <row r="38">
      <c r="A38" s="19" t="n"/>
      <c r="B38" s="19" t="n"/>
      <c r="C38" s="19" t="n"/>
      <c r="D38" s="19" t="n"/>
      <c r="E38" s="19" t="n"/>
      <c r="F38" s="19" t="n"/>
      <c r="G38" s="21" t="n"/>
      <c r="H38" s="22">
        <f>IF(G38="","",G38+3)</f>
        <v/>
      </c>
      <c r="I38" s="22">
        <f>IF(G38="","",G38+7)</f>
        <v/>
      </c>
      <c r="J38" s="22">
        <f>IF(G38="","",G38+14)</f>
        <v/>
      </c>
      <c r="K38" s="19" t="n"/>
      <c r="L38" s="19" t="n"/>
    </row>
    <row r="39">
      <c r="A39" s="19" t="n"/>
      <c r="B39" s="19" t="n"/>
      <c r="C39" s="19" t="n"/>
      <c r="D39" s="19" t="n"/>
      <c r="E39" s="19" t="n"/>
      <c r="F39" s="19" t="n"/>
      <c r="G39" s="21" t="n"/>
      <c r="H39" s="22">
        <f>IF(G39="","",G39+3)</f>
        <v/>
      </c>
      <c r="I39" s="22">
        <f>IF(G39="","",G39+7)</f>
        <v/>
      </c>
      <c r="J39" s="22">
        <f>IF(G39="","",G39+14)</f>
        <v/>
      </c>
      <c r="K39" s="19" t="n"/>
      <c r="L39" s="19" t="n"/>
    </row>
    <row r="40">
      <c r="A40" s="19" t="n"/>
      <c r="B40" s="19" t="n"/>
      <c r="C40" s="19" t="n"/>
      <c r="D40" s="19" t="n"/>
      <c r="E40" s="19" t="n"/>
      <c r="F40" s="19" t="n"/>
      <c r="G40" s="21" t="n"/>
      <c r="H40" s="22">
        <f>IF(G40="","",G40+3)</f>
        <v/>
      </c>
      <c r="I40" s="22">
        <f>IF(G40="","",G40+7)</f>
        <v/>
      </c>
      <c r="J40" s="22">
        <f>IF(G40="","",G40+14)</f>
        <v/>
      </c>
      <c r="K40" s="19" t="n"/>
      <c r="L40" s="19" t="n"/>
    </row>
    <row r="41">
      <c r="A41" s="19" t="n"/>
      <c r="B41" s="19" t="n"/>
      <c r="C41" s="19" t="n"/>
      <c r="D41" s="19" t="n"/>
      <c r="E41" s="19" t="n"/>
      <c r="F41" s="19" t="n"/>
      <c r="G41" s="21" t="n"/>
      <c r="H41" s="22">
        <f>IF(G41="","",G41+3)</f>
        <v/>
      </c>
      <c r="I41" s="22">
        <f>IF(G41="","",G41+7)</f>
        <v/>
      </c>
      <c r="J41" s="22">
        <f>IF(G41="","",G41+14)</f>
        <v/>
      </c>
      <c r="K41" s="19" t="n"/>
      <c r="L41" s="19" t="n"/>
    </row>
    <row r="42">
      <c r="A42" s="19" t="n"/>
      <c r="B42" s="19" t="n"/>
      <c r="C42" s="19" t="n"/>
      <c r="D42" s="19" t="n"/>
      <c r="E42" s="19" t="n"/>
      <c r="F42" s="19" t="n"/>
      <c r="G42" s="21" t="n"/>
      <c r="H42" s="22">
        <f>IF(G42="","",G42+3)</f>
        <v/>
      </c>
      <c r="I42" s="22">
        <f>IF(G42="","",G42+7)</f>
        <v/>
      </c>
      <c r="J42" s="22">
        <f>IF(G42="","",G42+14)</f>
        <v/>
      </c>
      <c r="K42" s="19" t="n"/>
      <c r="L42" s="19" t="n"/>
    </row>
    <row r="43">
      <c r="A43" s="19" t="n"/>
      <c r="B43" s="19" t="n"/>
      <c r="C43" s="19" t="n"/>
      <c r="D43" s="19" t="n"/>
      <c r="E43" s="19" t="n"/>
      <c r="F43" s="19" t="n"/>
      <c r="G43" s="21" t="n"/>
      <c r="H43" s="22">
        <f>IF(G43="","",G43+3)</f>
        <v/>
      </c>
      <c r="I43" s="22">
        <f>IF(G43="","",G43+7)</f>
        <v/>
      </c>
      <c r="J43" s="22">
        <f>IF(G43="","",G43+14)</f>
        <v/>
      </c>
      <c r="K43" s="19" t="n"/>
      <c r="L43" s="19" t="n"/>
    </row>
    <row r="44">
      <c r="A44" s="19" t="n"/>
      <c r="B44" s="19" t="n"/>
      <c r="C44" s="19" t="n"/>
      <c r="D44" s="19" t="n"/>
      <c r="E44" s="19" t="n"/>
      <c r="F44" s="19" t="n"/>
      <c r="G44" s="21" t="n"/>
      <c r="H44" s="22">
        <f>IF(G44="","",G44+3)</f>
        <v/>
      </c>
      <c r="I44" s="22">
        <f>IF(G44="","",G44+7)</f>
        <v/>
      </c>
      <c r="J44" s="22">
        <f>IF(G44="","",G44+14)</f>
        <v/>
      </c>
      <c r="K44" s="19" t="n"/>
      <c r="L44" s="19" t="n"/>
    </row>
    <row r="45">
      <c r="A45" s="19" t="n"/>
      <c r="B45" s="19" t="n"/>
      <c r="C45" s="19" t="n"/>
      <c r="D45" s="19" t="n"/>
      <c r="E45" s="19" t="n"/>
      <c r="F45" s="19" t="n"/>
      <c r="G45" s="21" t="n"/>
      <c r="H45" s="22">
        <f>IF(G45="","",G45+3)</f>
        <v/>
      </c>
      <c r="I45" s="22">
        <f>IF(G45="","",G45+7)</f>
        <v/>
      </c>
      <c r="J45" s="22">
        <f>IF(G45="","",G45+14)</f>
        <v/>
      </c>
      <c r="K45" s="19" t="n"/>
      <c r="L45" s="19" t="n"/>
    </row>
    <row r="46">
      <c r="A46" s="19" t="n"/>
      <c r="B46" s="19" t="n"/>
      <c r="C46" s="19" t="n"/>
      <c r="D46" s="19" t="n"/>
      <c r="E46" s="19" t="n"/>
      <c r="F46" s="19" t="n"/>
      <c r="G46" s="21" t="n"/>
      <c r="H46" s="22">
        <f>IF(G46="","",G46+3)</f>
        <v/>
      </c>
      <c r="I46" s="22">
        <f>IF(G46="","",G46+7)</f>
        <v/>
      </c>
      <c r="J46" s="22">
        <f>IF(G46="","",G46+14)</f>
        <v/>
      </c>
      <c r="K46" s="19" t="n"/>
      <c r="L46" s="19" t="n"/>
    </row>
    <row r="47">
      <c r="A47" s="19" t="n"/>
      <c r="B47" s="19" t="n"/>
      <c r="C47" s="19" t="n"/>
      <c r="D47" s="19" t="n"/>
      <c r="E47" s="19" t="n"/>
      <c r="F47" s="19" t="n"/>
      <c r="G47" s="21" t="n"/>
      <c r="H47" s="22">
        <f>IF(G47="","",G47+3)</f>
        <v/>
      </c>
      <c r="I47" s="22">
        <f>IF(G47="","",G47+7)</f>
        <v/>
      </c>
      <c r="J47" s="22">
        <f>IF(G47="","",G47+14)</f>
        <v/>
      </c>
      <c r="K47" s="19" t="n"/>
      <c r="L47" s="19" t="n"/>
    </row>
    <row r="48">
      <c r="A48" s="19" t="n"/>
      <c r="B48" s="19" t="n"/>
      <c r="C48" s="19" t="n"/>
      <c r="D48" s="19" t="n"/>
      <c r="E48" s="19" t="n"/>
      <c r="F48" s="19" t="n"/>
      <c r="G48" s="21" t="n"/>
      <c r="H48" s="22">
        <f>IF(G48="","",G48+3)</f>
        <v/>
      </c>
      <c r="I48" s="22">
        <f>IF(G48="","",G48+7)</f>
        <v/>
      </c>
      <c r="J48" s="22">
        <f>IF(G48="","",G48+14)</f>
        <v/>
      </c>
      <c r="K48" s="19" t="n"/>
      <c r="L48" s="19" t="n"/>
    </row>
    <row r="49">
      <c r="A49" s="19" t="n"/>
      <c r="B49" s="19" t="n"/>
      <c r="C49" s="19" t="n"/>
      <c r="D49" s="19" t="n"/>
      <c r="E49" s="19" t="n"/>
      <c r="F49" s="19" t="n"/>
      <c r="G49" s="21" t="n"/>
      <c r="H49" s="22">
        <f>IF(G49="","",G49+3)</f>
        <v/>
      </c>
      <c r="I49" s="22">
        <f>IF(G49="","",G49+7)</f>
        <v/>
      </c>
      <c r="J49" s="22">
        <f>IF(G49="","",G49+14)</f>
        <v/>
      </c>
      <c r="K49" s="19" t="n"/>
      <c r="L49" s="19" t="n"/>
    </row>
    <row r="50">
      <c r="A50" s="19" t="n"/>
      <c r="B50" s="19" t="n"/>
      <c r="C50" s="19" t="n"/>
      <c r="D50" s="19" t="n"/>
      <c r="E50" s="19" t="n"/>
      <c r="F50" s="19" t="n"/>
      <c r="G50" s="21" t="n"/>
      <c r="H50" s="22">
        <f>IF(G50="","",G50+3)</f>
        <v/>
      </c>
      <c r="I50" s="22">
        <f>IF(G50="","",G50+7)</f>
        <v/>
      </c>
      <c r="J50" s="22">
        <f>IF(G50="","",G50+14)</f>
        <v/>
      </c>
      <c r="K50" s="19" t="n"/>
      <c r="L50" s="19" t="n"/>
    </row>
    <row r="51">
      <c r="A51" s="19" t="n"/>
      <c r="B51" s="19" t="n"/>
      <c r="C51" s="19" t="n"/>
      <c r="D51" s="19" t="n"/>
      <c r="E51" s="19" t="n"/>
      <c r="F51" s="19" t="n"/>
      <c r="G51" s="21" t="n"/>
      <c r="H51" s="22">
        <f>IF(G51="","",G51+3)</f>
        <v/>
      </c>
      <c r="I51" s="22">
        <f>IF(G51="","",G51+7)</f>
        <v/>
      </c>
      <c r="J51" s="22">
        <f>IF(G51="","",G51+14)</f>
        <v/>
      </c>
      <c r="K51" s="19" t="n"/>
      <c r="L51" s="19" t="n"/>
    </row>
    <row r="52">
      <c r="A52" s="19" t="n"/>
      <c r="B52" s="19" t="n"/>
      <c r="C52" s="19" t="n"/>
      <c r="D52" s="19" t="n"/>
      <c r="E52" s="19" t="n"/>
      <c r="F52" s="19" t="n"/>
      <c r="G52" s="21" t="n"/>
      <c r="H52" s="22">
        <f>IF(G52="","",G52+3)</f>
        <v/>
      </c>
      <c r="I52" s="22">
        <f>IF(G52="","",G52+7)</f>
        <v/>
      </c>
      <c r="J52" s="22">
        <f>IF(G52="","",G52+14)</f>
        <v/>
      </c>
      <c r="K52" s="19" t="n"/>
      <c r="L52" s="19" t="n"/>
    </row>
    <row r="53">
      <c r="A53" s="19" t="n"/>
      <c r="B53" s="19" t="n"/>
      <c r="C53" s="19" t="n"/>
      <c r="D53" s="19" t="n"/>
      <c r="E53" s="19" t="n"/>
      <c r="F53" s="19" t="n"/>
      <c r="G53" s="21" t="n"/>
      <c r="H53" s="22">
        <f>IF(G53="","",G53+3)</f>
        <v/>
      </c>
      <c r="I53" s="22">
        <f>IF(G53="","",G53+7)</f>
        <v/>
      </c>
      <c r="J53" s="22">
        <f>IF(G53="","",G53+14)</f>
        <v/>
      </c>
      <c r="K53" s="19" t="n"/>
      <c r="L53" s="19" t="n"/>
    </row>
    <row r="54">
      <c r="A54" s="19" t="n"/>
      <c r="B54" s="19" t="n"/>
      <c r="C54" s="19" t="n"/>
      <c r="D54" s="19" t="n"/>
      <c r="E54" s="19" t="n"/>
      <c r="F54" s="19" t="n"/>
      <c r="G54" s="21" t="n"/>
      <c r="H54" s="22">
        <f>IF(G54="","",G54+3)</f>
        <v/>
      </c>
      <c r="I54" s="22">
        <f>IF(G54="","",G54+7)</f>
        <v/>
      </c>
      <c r="J54" s="22">
        <f>IF(G54="","",G54+14)</f>
        <v/>
      </c>
      <c r="K54" s="19" t="n"/>
      <c r="L54" s="19" t="n"/>
    </row>
    <row r="55">
      <c r="A55" s="19" t="n"/>
      <c r="B55" s="19" t="n"/>
      <c r="C55" s="19" t="n"/>
      <c r="D55" s="19" t="n"/>
      <c r="E55" s="19" t="n"/>
      <c r="F55" s="19" t="n"/>
      <c r="G55" s="21" t="n"/>
      <c r="H55" s="22">
        <f>IF(G55="","",G55+3)</f>
        <v/>
      </c>
      <c r="I55" s="22">
        <f>IF(G55="","",G55+7)</f>
        <v/>
      </c>
      <c r="J55" s="22">
        <f>IF(G55="","",G55+14)</f>
        <v/>
      </c>
      <c r="K55" s="19" t="n"/>
      <c r="L55" s="19" t="n"/>
    </row>
    <row r="56">
      <c r="A56" s="19" t="n"/>
      <c r="B56" s="19" t="n"/>
      <c r="C56" s="19" t="n"/>
      <c r="D56" s="19" t="n"/>
      <c r="E56" s="19" t="n"/>
      <c r="F56" s="19" t="n"/>
      <c r="G56" s="21" t="n"/>
      <c r="H56" s="22">
        <f>IF(G56="","",G56+3)</f>
        <v/>
      </c>
      <c r="I56" s="22">
        <f>IF(G56="","",G56+7)</f>
        <v/>
      </c>
      <c r="J56" s="22">
        <f>IF(G56="","",G56+14)</f>
        <v/>
      </c>
      <c r="K56" s="19" t="n"/>
      <c r="L56" s="19" t="n"/>
    </row>
    <row r="57">
      <c r="A57" s="19" t="n"/>
      <c r="B57" s="19" t="n"/>
      <c r="C57" s="19" t="n"/>
      <c r="D57" s="19" t="n"/>
      <c r="E57" s="19" t="n"/>
      <c r="F57" s="19" t="n"/>
      <c r="G57" s="21" t="n"/>
      <c r="H57" s="22">
        <f>IF(G57="","",G57+3)</f>
        <v/>
      </c>
      <c r="I57" s="22">
        <f>IF(G57="","",G57+7)</f>
        <v/>
      </c>
      <c r="J57" s="22">
        <f>IF(G57="","",G57+14)</f>
        <v/>
      </c>
      <c r="K57" s="19" t="n"/>
      <c r="L57" s="19" t="n"/>
    </row>
    <row r="58">
      <c r="A58" s="19" t="n"/>
      <c r="B58" s="19" t="n"/>
      <c r="C58" s="19" t="n"/>
      <c r="D58" s="19" t="n"/>
      <c r="E58" s="19" t="n"/>
      <c r="F58" s="19" t="n"/>
      <c r="G58" s="21" t="n"/>
      <c r="H58" s="22">
        <f>IF(G58="","",G58+3)</f>
        <v/>
      </c>
      <c r="I58" s="22">
        <f>IF(G58="","",G58+7)</f>
        <v/>
      </c>
      <c r="J58" s="22">
        <f>IF(G58="","",G58+14)</f>
        <v/>
      </c>
      <c r="K58" s="19" t="n"/>
      <c r="L58" s="19" t="n"/>
    </row>
    <row r="59">
      <c r="A59" s="19" t="n"/>
      <c r="B59" s="19" t="n"/>
      <c r="C59" s="19" t="n"/>
      <c r="D59" s="19" t="n"/>
      <c r="E59" s="19" t="n"/>
      <c r="F59" s="19" t="n"/>
      <c r="G59" s="21" t="n"/>
      <c r="H59" s="22">
        <f>IF(G59="","",G59+3)</f>
        <v/>
      </c>
      <c r="I59" s="22">
        <f>IF(G59="","",G59+7)</f>
        <v/>
      </c>
      <c r="J59" s="22">
        <f>IF(G59="","",G59+14)</f>
        <v/>
      </c>
      <c r="K59" s="19" t="n"/>
      <c r="L59" s="19" t="n"/>
    </row>
    <row r="60">
      <c r="A60" s="19" t="n"/>
      <c r="B60" s="19" t="n"/>
      <c r="C60" s="19" t="n"/>
      <c r="D60" s="19" t="n"/>
      <c r="E60" s="19" t="n"/>
      <c r="F60" s="19" t="n"/>
      <c r="G60" s="21" t="n"/>
      <c r="H60" s="22">
        <f>IF(G60="","",G60+3)</f>
        <v/>
      </c>
      <c r="I60" s="22">
        <f>IF(G60="","",G60+7)</f>
        <v/>
      </c>
      <c r="J60" s="22">
        <f>IF(G60="","",G60+14)</f>
        <v/>
      </c>
      <c r="K60" s="19" t="n"/>
      <c r="L60" s="19" t="n"/>
    </row>
    <row r="61">
      <c r="A61" s="19" t="n"/>
      <c r="B61" s="19" t="n"/>
      <c r="C61" s="19" t="n"/>
      <c r="D61" s="19" t="n"/>
      <c r="E61" s="19" t="n"/>
      <c r="F61" s="19" t="n"/>
      <c r="G61" s="21" t="n"/>
      <c r="H61" s="22">
        <f>IF(G61="","",G61+3)</f>
        <v/>
      </c>
      <c r="I61" s="22">
        <f>IF(G61="","",G61+7)</f>
        <v/>
      </c>
      <c r="J61" s="22">
        <f>IF(G61="","",G61+14)</f>
        <v/>
      </c>
      <c r="K61" s="19" t="n"/>
      <c r="L61" s="19" t="n"/>
    </row>
    <row r="62">
      <c r="A62" s="19" t="n"/>
      <c r="B62" s="19" t="n"/>
      <c r="C62" s="19" t="n"/>
      <c r="D62" s="19" t="n"/>
      <c r="E62" s="19" t="n"/>
      <c r="F62" s="19" t="n"/>
      <c r="G62" s="21" t="n"/>
      <c r="H62" s="22">
        <f>IF(G62="","",G62+3)</f>
        <v/>
      </c>
      <c r="I62" s="22">
        <f>IF(G62="","",G62+7)</f>
        <v/>
      </c>
      <c r="J62" s="22">
        <f>IF(G62="","",G62+14)</f>
        <v/>
      </c>
      <c r="K62" s="19" t="n"/>
      <c r="L62" s="19" t="n"/>
    </row>
    <row r="63">
      <c r="A63" s="19" t="n"/>
      <c r="B63" s="19" t="n"/>
      <c r="C63" s="19" t="n"/>
      <c r="D63" s="19" t="n"/>
      <c r="E63" s="19" t="n"/>
      <c r="F63" s="19" t="n"/>
      <c r="G63" s="21" t="n"/>
      <c r="H63" s="22">
        <f>IF(G63="","",G63+3)</f>
        <v/>
      </c>
      <c r="I63" s="22">
        <f>IF(G63="","",G63+7)</f>
        <v/>
      </c>
      <c r="J63" s="22">
        <f>IF(G63="","",G63+14)</f>
        <v/>
      </c>
      <c r="K63" s="19" t="n"/>
      <c r="L63" s="19" t="n"/>
    </row>
    <row r="64">
      <c r="A64" s="19" t="n"/>
      <c r="B64" s="19" t="n"/>
      <c r="C64" s="19" t="n"/>
      <c r="D64" s="19" t="n"/>
      <c r="E64" s="19" t="n"/>
      <c r="F64" s="19" t="n"/>
      <c r="G64" s="21" t="n"/>
      <c r="H64" s="22">
        <f>IF(G64="","",G64+3)</f>
        <v/>
      </c>
      <c r="I64" s="22">
        <f>IF(G64="","",G64+7)</f>
        <v/>
      </c>
      <c r="J64" s="22">
        <f>IF(G64="","",G64+14)</f>
        <v/>
      </c>
      <c r="K64" s="19" t="n"/>
      <c r="L64" s="19" t="n"/>
    </row>
    <row r="65">
      <c r="A65" s="19" t="n"/>
      <c r="B65" s="19" t="n"/>
      <c r="C65" s="19" t="n"/>
      <c r="D65" s="19" t="n"/>
      <c r="E65" s="19" t="n"/>
      <c r="F65" s="19" t="n"/>
      <c r="G65" s="21" t="n"/>
      <c r="H65" s="22">
        <f>IF(G65="","",G65+3)</f>
        <v/>
      </c>
      <c r="I65" s="22">
        <f>IF(G65="","",G65+7)</f>
        <v/>
      </c>
      <c r="J65" s="22">
        <f>IF(G65="","",G65+14)</f>
        <v/>
      </c>
      <c r="K65" s="19" t="n"/>
      <c r="L65" s="19" t="n"/>
    </row>
    <row r="66">
      <c r="A66" s="19" t="n"/>
      <c r="B66" s="19" t="n"/>
      <c r="C66" s="19" t="n"/>
      <c r="D66" s="19" t="n"/>
      <c r="E66" s="19" t="n"/>
      <c r="F66" s="19" t="n"/>
      <c r="G66" s="21" t="n"/>
      <c r="H66" s="22">
        <f>IF(G66="","",G66+3)</f>
        <v/>
      </c>
      <c r="I66" s="22">
        <f>IF(G66="","",G66+7)</f>
        <v/>
      </c>
      <c r="J66" s="22">
        <f>IF(G66="","",G66+14)</f>
        <v/>
      </c>
      <c r="K66" s="19" t="n"/>
      <c r="L66" s="19" t="n"/>
    </row>
    <row r="67">
      <c r="A67" s="19" t="n"/>
      <c r="B67" s="19" t="n"/>
      <c r="C67" s="19" t="n"/>
      <c r="D67" s="19" t="n"/>
      <c r="E67" s="19" t="n"/>
      <c r="F67" s="19" t="n"/>
      <c r="G67" s="21" t="n"/>
      <c r="H67" s="22">
        <f>IF(G67="","",G67+3)</f>
        <v/>
      </c>
      <c r="I67" s="22">
        <f>IF(G67="","",G67+7)</f>
        <v/>
      </c>
      <c r="J67" s="22">
        <f>IF(G67="","",G67+14)</f>
        <v/>
      </c>
      <c r="K67" s="19" t="n"/>
      <c r="L67" s="19" t="n"/>
    </row>
    <row r="68">
      <c r="A68" s="19" t="n"/>
      <c r="B68" s="19" t="n"/>
      <c r="C68" s="19" t="n"/>
      <c r="D68" s="19" t="n"/>
      <c r="E68" s="19" t="n"/>
      <c r="F68" s="19" t="n"/>
      <c r="G68" s="21" t="n"/>
      <c r="H68" s="22">
        <f>IF(G68="","",G68+3)</f>
        <v/>
      </c>
      <c r="I68" s="22">
        <f>IF(G68="","",G68+7)</f>
        <v/>
      </c>
      <c r="J68" s="22">
        <f>IF(G68="","",G68+14)</f>
        <v/>
      </c>
      <c r="K68" s="19" t="n"/>
      <c r="L68" s="19" t="n"/>
    </row>
    <row r="69">
      <c r="A69" s="19" t="n"/>
      <c r="B69" s="19" t="n"/>
      <c r="C69" s="19" t="n"/>
      <c r="D69" s="19" t="n"/>
      <c r="E69" s="19" t="n"/>
      <c r="F69" s="19" t="n"/>
      <c r="G69" s="21" t="n"/>
      <c r="H69" s="22">
        <f>IF(G69="","",G69+3)</f>
        <v/>
      </c>
      <c r="I69" s="22">
        <f>IF(G69="","",G69+7)</f>
        <v/>
      </c>
      <c r="J69" s="22">
        <f>IF(G69="","",G69+14)</f>
        <v/>
      </c>
      <c r="K69" s="19" t="n"/>
      <c r="L69" s="19" t="n"/>
    </row>
    <row r="70">
      <c r="A70" s="19" t="n"/>
      <c r="B70" s="19" t="n"/>
      <c r="C70" s="19" t="n"/>
      <c r="D70" s="19" t="n"/>
      <c r="E70" s="19" t="n"/>
      <c r="F70" s="19" t="n"/>
      <c r="G70" s="21" t="n"/>
      <c r="H70" s="22">
        <f>IF(G70="","",G70+3)</f>
        <v/>
      </c>
      <c r="I70" s="22">
        <f>IF(G70="","",G70+7)</f>
        <v/>
      </c>
      <c r="J70" s="22">
        <f>IF(G70="","",G70+14)</f>
        <v/>
      </c>
      <c r="K70" s="19" t="n"/>
      <c r="L70" s="19" t="n"/>
    </row>
    <row r="71">
      <c r="A71" s="19" t="n"/>
      <c r="B71" s="19" t="n"/>
      <c r="C71" s="19" t="n"/>
      <c r="D71" s="19" t="n"/>
      <c r="E71" s="19" t="n"/>
      <c r="F71" s="19" t="n"/>
      <c r="G71" s="21" t="n"/>
      <c r="H71" s="22">
        <f>IF(G71="","",G71+3)</f>
        <v/>
      </c>
      <c r="I71" s="22">
        <f>IF(G71="","",G71+7)</f>
        <v/>
      </c>
      <c r="J71" s="22">
        <f>IF(G71="","",G71+14)</f>
        <v/>
      </c>
      <c r="K71" s="19" t="n"/>
      <c r="L71" s="19" t="n"/>
    </row>
    <row r="72">
      <c r="A72" s="19" t="n"/>
      <c r="B72" s="19" t="n"/>
      <c r="C72" s="19" t="n"/>
      <c r="D72" s="19" t="n"/>
      <c r="E72" s="19" t="n"/>
      <c r="F72" s="19" t="n"/>
      <c r="G72" s="21" t="n"/>
      <c r="H72" s="22">
        <f>IF(G72="","",G72+3)</f>
        <v/>
      </c>
      <c r="I72" s="22">
        <f>IF(G72="","",G72+7)</f>
        <v/>
      </c>
      <c r="J72" s="22">
        <f>IF(G72="","",G72+14)</f>
        <v/>
      </c>
      <c r="K72" s="19" t="n"/>
      <c r="L72" s="19" t="n"/>
    </row>
    <row r="73">
      <c r="A73" s="19" t="n"/>
      <c r="B73" s="19" t="n"/>
      <c r="C73" s="19" t="n"/>
      <c r="D73" s="19" t="n"/>
      <c r="E73" s="19" t="n"/>
      <c r="F73" s="19" t="n"/>
      <c r="G73" s="21" t="n"/>
      <c r="H73" s="22">
        <f>IF(G73="","",G73+3)</f>
        <v/>
      </c>
      <c r="I73" s="22">
        <f>IF(G73="","",G73+7)</f>
        <v/>
      </c>
      <c r="J73" s="22">
        <f>IF(G73="","",G73+14)</f>
        <v/>
      </c>
      <c r="K73" s="19" t="n"/>
      <c r="L73" s="19" t="n"/>
    </row>
    <row r="74">
      <c r="A74" s="19" t="n"/>
      <c r="B74" s="19" t="n"/>
      <c r="C74" s="19" t="n"/>
      <c r="D74" s="19" t="n"/>
      <c r="E74" s="19" t="n"/>
      <c r="F74" s="19" t="n"/>
      <c r="G74" s="21" t="n"/>
      <c r="H74" s="22">
        <f>IF(G74="","",G74+3)</f>
        <v/>
      </c>
      <c r="I74" s="22">
        <f>IF(G74="","",G74+7)</f>
        <v/>
      </c>
      <c r="J74" s="22">
        <f>IF(G74="","",G74+14)</f>
        <v/>
      </c>
      <c r="K74" s="19" t="n"/>
      <c r="L74" s="19" t="n"/>
    </row>
    <row r="75">
      <c r="A75" s="19" t="n"/>
      <c r="B75" s="19" t="n"/>
      <c r="C75" s="19" t="n"/>
      <c r="D75" s="19" t="n"/>
      <c r="E75" s="19" t="n"/>
      <c r="F75" s="19" t="n"/>
      <c r="G75" s="21" t="n"/>
      <c r="H75" s="22">
        <f>IF(G75="","",G75+3)</f>
        <v/>
      </c>
      <c r="I75" s="22">
        <f>IF(G75="","",G75+7)</f>
        <v/>
      </c>
      <c r="J75" s="22">
        <f>IF(G75="","",G75+14)</f>
        <v/>
      </c>
      <c r="K75" s="19" t="n"/>
      <c r="L75" s="19" t="n"/>
    </row>
    <row r="76">
      <c r="A76" s="19" t="n"/>
      <c r="B76" s="19" t="n"/>
      <c r="C76" s="19" t="n"/>
      <c r="D76" s="19" t="n"/>
      <c r="E76" s="19" t="n"/>
      <c r="F76" s="19" t="n"/>
      <c r="G76" s="21" t="n"/>
      <c r="H76" s="22">
        <f>IF(G76="","",G76+3)</f>
        <v/>
      </c>
      <c r="I76" s="22">
        <f>IF(G76="","",G76+7)</f>
        <v/>
      </c>
      <c r="J76" s="22">
        <f>IF(G76="","",G76+14)</f>
        <v/>
      </c>
      <c r="K76" s="19" t="n"/>
      <c r="L76" s="19" t="n"/>
    </row>
    <row r="77">
      <c r="A77" s="19" t="n"/>
      <c r="B77" s="19" t="n"/>
      <c r="C77" s="19" t="n"/>
      <c r="D77" s="19" t="n"/>
      <c r="E77" s="19" t="n"/>
      <c r="F77" s="19" t="n"/>
      <c r="G77" s="21" t="n"/>
      <c r="H77" s="22">
        <f>IF(G77="","",G77+3)</f>
        <v/>
      </c>
      <c r="I77" s="22">
        <f>IF(G77="","",G77+7)</f>
        <v/>
      </c>
      <c r="J77" s="22">
        <f>IF(G77="","",G77+14)</f>
        <v/>
      </c>
      <c r="K77" s="19" t="n"/>
      <c r="L77" s="19" t="n"/>
    </row>
    <row r="78">
      <c r="A78" s="19" t="n"/>
      <c r="B78" s="19" t="n"/>
      <c r="C78" s="19" t="n"/>
      <c r="D78" s="19" t="n"/>
      <c r="E78" s="19" t="n"/>
      <c r="F78" s="19" t="n"/>
      <c r="G78" s="21" t="n"/>
      <c r="H78" s="22">
        <f>IF(G78="","",G78+3)</f>
        <v/>
      </c>
      <c r="I78" s="22">
        <f>IF(G78="","",G78+7)</f>
        <v/>
      </c>
      <c r="J78" s="22">
        <f>IF(G78="","",G78+14)</f>
        <v/>
      </c>
      <c r="K78" s="19" t="n"/>
      <c r="L78" s="19" t="n"/>
    </row>
    <row r="79">
      <c r="A79" s="19" t="n"/>
      <c r="B79" s="19" t="n"/>
      <c r="C79" s="19" t="n"/>
      <c r="D79" s="19" t="n"/>
      <c r="E79" s="19" t="n"/>
      <c r="F79" s="19" t="n"/>
      <c r="G79" s="21" t="n"/>
      <c r="H79" s="22">
        <f>IF(G79="","",G79+3)</f>
        <v/>
      </c>
      <c r="I79" s="22">
        <f>IF(G79="","",G79+7)</f>
        <v/>
      </c>
      <c r="J79" s="22">
        <f>IF(G79="","",G79+14)</f>
        <v/>
      </c>
      <c r="K79" s="19" t="n"/>
      <c r="L79" s="19" t="n"/>
    </row>
    <row r="80">
      <c r="A80" s="19" t="n"/>
      <c r="B80" s="19" t="n"/>
      <c r="C80" s="19" t="n"/>
      <c r="D80" s="19" t="n"/>
      <c r="E80" s="19" t="n"/>
      <c r="F80" s="19" t="n"/>
      <c r="G80" s="21" t="n"/>
      <c r="H80" s="22">
        <f>IF(G80="","",G80+3)</f>
        <v/>
      </c>
      <c r="I80" s="22">
        <f>IF(G80="","",G80+7)</f>
        <v/>
      </c>
      <c r="J80" s="22">
        <f>IF(G80="","",G80+14)</f>
        <v/>
      </c>
      <c r="K80" s="19" t="n"/>
      <c r="L80" s="19" t="n"/>
    </row>
    <row r="81">
      <c r="A81" s="19" t="n"/>
      <c r="B81" s="19" t="n"/>
      <c r="C81" s="19" t="n"/>
      <c r="D81" s="19" t="n"/>
      <c r="E81" s="19" t="n"/>
      <c r="F81" s="19" t="n"/>
      <c r="G81" s="21" t="n"/>
      <c r="H81" s="22">
        <f>IF(G81="","",G81+3)</f>
        <v/>
      </c>
      <c r="I81" s="22">
        <f>IF(G81="","",G81+7)</f>
        <v/>
      </c>
      <c r="J81" s="22">
        <f>IF(G81="","",G81+14)</f>
        <v/>
      </c>
      <c r="K81" s="19" t="n"/>
      <c r="L81" s="19" t="n"/>
    </row>
    <row r="82">
      <c r="A82" s="19" t="n"/>
      <c r="B82" s="19" t="n"/>
      <c r="C82" s="19" t="n"/>
      <c r="D82" s="19" t="n"/>
      <c r="E82" s="19" t="n"/>
      <c r="F82" s="19" t="n"/>
      <c r="G82" s="21" t="n"/>
      <c r="H82" s="22">
        <f>IF(G82="","",G82+3)</f>
        <v/>
      </c>
      <c r="I82" s="22">
        <f>IF(G82="","",G82+7)</f>
        <v/>
      </c>
      <c r="J82" s="22">
        <f>IF(G82="","",G82+14)</f>
        <v/>
      </c>
      <c r="K82" s="19" t="n"/>
      <c r="L82" s="19" t="n"/>
    </row>
    <row r="83">
      <c r="A83" s="19" t="n"/>
      <c r="B83" s="19" t="n"/>
      <c r="C83" s="19" t="n"/>
      <c r="D83" s="19" t="n"/>
      <c r="E83" s="19" t="n"/>
      <c r="F83" s="19" t="n"/>
      <c r="G83" s="21" t="n"/>
      <c r="H83" s="22">
        <f>IF(G83="","",G83+3)</f>
        <v/>
      </c>
      <c r="I83" s="22">
        <f>IF(G83="","",G83+7)</f>
        <v/>
      </c>
      <c r="J83" s="22">
        <f>IF(G83="","",G83+14)</f>
        <v/>
      </c>
      <c r="K83" s="19" t="n"/>
      <c r="L83" s="19" t="n"/>
    </row>
    <row r="84">
      <c r="A84" s="19" t="n"/>
      <c r="B84" s="19" t="n"/>
      <c r="C84" s="19" t="n"/>
      <c r="D84" s="19" t="n"/>
      <c r="E84" s="19" t="n"/>
      <c r="F84" s="19" t="n"/>
      <c r="G84" s="21" t="n"/>
      <c r="H84" s="22">
        <f>IF(G84="","",G84+3)</f>
        <v/>
      </c>
      <c r="I84" s="22">
        <f>IF(G84="","",G84+7)</f>
        <v/>
      </c>
      <c r="J84" s="22">
        <f>IF(G84="","",G84+14)</f>
        <v/>
      </c>
      <c r="K84" s="19" t="n"/>
      <c r="L84" s="19" t="n"/>
    </row>
    <row r="85">
      <c r="A85" s="19" t="n"/>
      <c r="B85" s="19" t="n"/>
      <c r="C85" s="19" t="n"/>
      <c r="D85" s="19" t="n"/>
      <c r="E85" s="19" t="n"/>
      <c r="F85" s="19" t="n"/>
      <c r="G85" s="21" t="n"/>
      <c r="H85" s="22">
        <f>IF(G85="","",G85+3)</f>
        <v/>
      </c>
      <c r="I85" s="22">
        <f>IF(G85="","",G85+7)</f>
        <v/>
      </c>
      <c r="J85" s="22">
        <f>IF(G85="","",G85+14)</f>
        <v/>
      </c>
      <c r="K85" s="19" t="n"/>
      <c r="L85" s="19" t="n"/>
    </row>
    <row r="86">
      <c r="A86" s="19" t="n"/>
      <c r="B86" s="19" t="n"/>
      <c r="C86" s="19" t="n"/>
      <c r="D86" s="19" t="n"/>
      <c r="E86" s="19" t="n"/>
      <c r="F86" s="19" t="n"/>
      <c r="G86" s="21" t="n"/>
      <c r="H86" s="22">
        <f>IF(G86="","",G86+3)</f>
        <v/>
      </c>
      <c r="I86" s="22">
        <f>IF(G86="","",G86+7)</f>
        <v/>
      </c>
      <c r="J86" s="22">
        <f>IF(G86="","",G86+14)</f>
        <v/>
      </c>
      <c r="K86" s="19" t="n"/>
      <c r="L86" s="19" t="n"/>
    </row>
    <row r="87">
      <c r="A87" s="19" t="n"/>
      <c r="B87" s="19" t="n"/>
      <c r="C87" s="19" t="n"/>
      <c r="D87" s="19" t="n"/>
      <c r="E87" s="19" t="n"/>
      <c r="F87" s="19" t="n"/>
      <c r="G87" s="21" t="n"/>
      <c r="H87" s="22">
        <f>IF(G87="","",G87+3)</f>
        <v/>
      </c>
      <c r="I87" s="22">
        <f>IF(G87="","",G87+7)</f>
        <v/>
      </c>
      <c r="J87" s="22">
        <f>IF(G87="","",G87+14)</f>
        <v/>
      </c>
      <c r="K87" s="19" t="n"/>
      <c r="L87" s="19" t="n"/>
    </row>
    <row r="88">
      <c r="A88" s="19" t="n"/>
      <c r="B88" s="19" t="n"/>
      <c r="C88" s="19" t="n"/>
      <c r="D88" s="19" t="n"/>
      <c r="E88" s="19" t="n"/>
      <c r="F88" s="19" t="n"/>
      <c r="G88" s="21" t="n"/>
      <c r="H88" s="22">
        <f>IF(G88="","",G88+3)</f>
        <v/>
      </c>
      <c r="I88" s="22">
        <f>IF(G88="","",G88+7)</f>
        <v/>
      </c>
      <c r="J88" s="22">
        <f>IF(G88="","",G88+14)</f>
        <v/>
      </c>
      <c r="K88" s="19" t="n"/>
      <c r="L88" s="19" t="n"/>
    </row>
    <row r="89">
      <c r="A89" s="19" t="n"/>
      <c r="B89" s="19" t="n"/>
      <c r="C89" s="19" t="n"/>
      <c r="D89" s="19" t="n"/>
      <c r="E89" s="19" t="n"/>
      <c r="F89" s="19" t="n"/>
      <c r="G89" s="21" t="n"/>
      <c r="H89" s="22">
        <f>IF(G89="","",G89+3)</f>
        <v/>
      </c>
      <c r="I89" s="22">
        <f>IF(G89="","",G89+7)</f>
        <v/>
      </c>
      <c r="J89" s="22">
        <f>IF(G89="","",G89+14)</f>
        <v/>
      </c>
      <c r="K89" s="19" t="n"/>
      <c r="L89" s="19" t="n"/>
    </row>
    <row r="90">
      <c r="A90" s="19" t="n"/>
      <c r="B90" s="19" t="n"/>
      <c r="C90" s="19" t="n"/>
      <c r="D90" s="19" t="n"/>
      <c r="E90" s="19" t="n"/>
      <c r="F90" s="19" t="n"/>
      <c r="G90" s="21" t="n"/>
      <c r="H90" s="22">
        <f>IF(G90="","",G90+3)</f>
        <v/>
      </c>
      <c r="I90" s="22">
        <f>IF(G90="","",G90+7)</f>
        <v/>
      </c>
      <c r="J90" s="22">
        <f>IF(G90="","",G90+14)</f>
        <v/>
      </c>
      <c r="K90" s="19" t="n"/>
      <c r="L90" s="19" t="n"/>
    </row>
    <row r="91">
      <c r="A91" s="19" t="n"/>
      <c r="B91" s="19" t="n"/>
      <c r="C91" s="19" t="n"/>
      <c r="D91" s="19" t="n"/>
      <c r="E91" s="19" t="n"/>
      <c r="F91" s="19" t="n"/>
      <c r="G91" s="21" t="n"/>
      <c r="H91" s="22">
        <f>IF(G91="","",G91+3)</f>
        <v/>
      </c>
      <c r="I91" s="22">
        <f>IF(G91="","",G91+7)</f>
        <v/>
      </c>
      <c r="J91" s="22">
        <f>IF(G91="","",G91+14)</f>
        <v/>
      </c>
      <c r="K91" s="19" t="n"/>
      <c r="L91" s="19" t="n"/>
    </row>
    <row r="92">
      <c r="A92" s="19" t="n"/>
      <c r="B92" s="19" t="n"/>
      <c r="C92" s="19" t="n"/>
      <c r="D92" s="19" t="n"/>
      <c r="E92" s="19" t="n"/>
      <c r="F92" s="19" t="n"/>
      <c r="G92" s="21" t="n"/>
      <c r="H92" s="22">
        <f>IF(G92="","",G92+3)</f>
        <v/>
      </c>
      <c r="I92" s="22">
        <f>IF(G92="","",G92+7)</f>
        <v/>
      </c>
      <c r="J92" s="22">
        <f>IF(G92="","",G92+14)</f>
        <v/>
      </c>
      <c r="K92" s="19" t="n"/>
      <c r="L92" s="19" t="n"/>
    </row>
    <row r="93">
      <c r="A93" s="19" t="n"/>
      <c r="B93" s="19" t="n"/>
      <c r="C93" s="19" t="n"/>
      <c r="D93" s="19" t="n"/>
      <c r="E93" s="19" t="n"/>
      <c r="F93" s="19" t="n"/>
      <c r="G93" s="21" t="n"/>
      <c r="H93" s="22">
        <f>IF(G93="","",G93+3)</f>
        <v/>
      </c>
      <c r="I93" s="22">
        <f>IF(G93="","",G93+7)</f>
        <v/>
      </c>
      <c r="J93" s="22">
        <f>IF(G93="","",G93+14)</f>
        <v/>
      </c>
      <c r="K93" s="19" t="n"/>
      <c r="L93" s="19" t="n"/>
    </row>
    <row r="94">
      <c r="A94" s="19" t="n"/>
      <c r="B94" s="19" t="n"/>
      <c r="C94" s="19" t="n"/>
      <c r="D94" s="19" t="n"/>
      <c r="E94" s="19" t="n"/>
      <c r="F94" s="19" t="n"/>
      <c r="G94" s="21" t="n"/>
      <c r="H94" s="22">
        <f>IF(G94="","",G94+3)</f>
        <v/>
      </c>
      <c r="I94" s="22">
        <f>IF(G94="","",G94+7)</f>
        <v/>
      </c>
      <c r="J94" s="22">
        <f>IF(G94="","",G94+14)</f>
        <v/>
      </c>
      <c r="K94" s="19" t="n"/>
      <c r="L94" s="19" t="n"/>
    </row>
    <row r="95">
      <c r="A95" s="19" t="n"/>
      <c r="B95" s="19" t="n"/>
      <c r="C95" s="19" t="n"/>
      <c r="D95" s="19" t="n"/>
      <c r="E95" s="19" t="n"/>
      <c r="F95" s="19" t="n"/>
      <c r="G95" s="21" t="n"/>
      <c r="H95" s="22">
        <f>IF(G95="","",G95+3)</f>
        <v/>
      </c>
      <c r="I95" s="22">
        <f>IF(G95="","",G95+7)</f>
        <v/>
      </c>
      <c r="J95" s="22">
        <f>IF(G95="","",G95+14)</f>
        <v/>
      </c>
      <c r="K95" s="19" t="n"/>
      <c r="L95" s="19" t="n"/>
    </row>
    <row r="96">
      <c r="A96" s="19" t="n"/>
      <c r="B96" s="19" t="n"/>
      <c r="C96" s="19" t="n"/>
      <c r="D96" s="19" t="n"/>
      <c r="E96" s="19" t="n"/>
      <c r="F96" s="19" t="n"/>
      <c r="G96" s="21" t="n"/>
      <c r="H96" s="22">
        <f>IF(G96="","",G96+3)</f>
        <v/>
      </c>
      <c r="I96" s="22">
        <f>IF(G96="","",G96+7)</f>
        <v/>
      </c>
      <c r="J96" s="22">
        <f>IF(G96="","",G96+14)</f>
        <v/>
      </c>
      <c r="K96" s="19" t="n"/>
      <c r="L96" s="19" t="n"/>
    </row>
    <row r="97">
      <c r="A97" s="19" t="n"/>
      <c r="B97" s="19" t="n"/>
      <c r="C97" s="19" t="n"/>
      <c r="D97" s="19" t="n"/>
      <c r="E97" s="19" t="n"/>
      <c r="F97" s="19" t="n"/>
      <c r="G97" s="21" t="n"/>
      <c r="H97" s="22">
        <f>IF(G97="","",G97+3)</f>
        <v/>
      </c>
      <c r="I97" s="22">
        <f>IF(G97="","",G97+7)</f>
        <v/>
      </c>
      <c r="J97" s="22">
        <f>IF(G97="","",G97+14)</f>
        <v/>
      </c>
      <c r="K97" s="19" t="n"/>
      <c r="L97" s="19" t="n"/>
    </row>
    <row r="98">
      <c r="A98" s="19" t="n"/>
      <c r="B98" s="19" t="n"/>
      <c r="C98" s="19" t="n"/>
      <c r="D98" s="19" t="n"/>
      <c r="E98" s="19" t="n"/>
      <c r="F98" s="19" t="n"/>
      <c r="G98" s="21" t="n"/>
      <c r="H98" s="22">
        <f>IF(G98="","",G98+3)</f>
        <v/>
      </c>
      <c r="I98" s="22">
        <f>IF(G98="","",G98+7)</f>
        <v/>
      </c>
      <c r="J98" s="22">
        <f>IF(G98="","",G98+14)</f>
        <v/>
      </c>
      <c r="K98" s="19" t="n"/>
      <c r="L98" s="19" t="n"/>
    </row>
    <row r="99">
      <c r="A99" s="19" t="n"/>
      <c r="B99" s="19" t="n"/>
      <c r="C99" s="19" t="n"/>
      <c r="D99" s="19" t="n"/>
      <c r="E99" s="19" t="n"/>
      <c r="F99" s="19" t="n"/>
      <c r="G99" s="21" t="n"/>
      <c r="H99" s="22">
        <f>IF(G99="","",G99+3)</f>
        <v/>
      </c>
      <c r="I99" s="22">
        <f>IF(G99="","",G99+7)</f>
        <v/>
      </c>
      <c r="J99" s="22">
        <f>IF(G99="","",G99+14)</f>
        <v/>
      </c>
      <c r="K99" s="19" t="n"/>
      <c r="L99" s="19" t="n"/>
    </row>
    <row r="100">
      <c r="A100" s="19" t="n"/>
      <c r="B100" s="19" t="n"/>
      <c r="C100" s="19" t="n"/>
      <c r="D100" s="19" t="n"/>
      <c r="E100" s="19" t="n"/>
      <c r="F100" s="19" t="n"/>
      <c r="G100" s="21" t="n"/>
      <c r="H100" s="22">
        <f>IF(G100="","",G100+3)</f>
        <v/>
      </c>
      <c r="I100" s="22">
        <f>IF(G100="","",G100+7)</f>
        <v/>
      </c>
      <c r="J100" s="22">
        <f>IF(G100="","",G100+14)</f>
        <v/>
      </c>
      <c r="K100" s="19" t="n"/>
      <c r="L100" s="19" t="n"/>
    </row>
    <row r="101">
      <c r="A101" s="19" t="n"/>
      <c r="B101" s="19" t="n"/>
      <c r="C101" s="19" t="n"/>
      <c r="D101" s="19" t="n"/>
      <c r="E101" s="19" t="n"/>
      <c r="F101" s="19" t="n"/>
      <c r="G101" s="21" t="n"/>
      <c r="H101" s="22">
        <f>IF(G101="","",G101+3)</f>
        <v/>
      </c>
      <c r="I101" s="22">
        <f>IF(G101="","",G101+7)</f>
        <v/>
      </c>
      <c r="J101" s="22">
        <f>IF(G101="","",G101+14)</f>
        <v/>
      </c>
      <c r="K101" s="19" t="n"/>
      <c r="L101" s="19" t="n"/>
    </row>
    <row r="102">
      <c r="A102" s="19" t="n"/>
      <c r="B102" s="19" t="n"/>
      <c r="C102" s="19" t="n"/>
      <c r="D102" s="19" t="n"/>
      <c r="E102" s="19" t="n"/>
      <c r="F102" s="19" t="n"/>
      <c r="G102" s="21" t="n"/>
      <c r="H102" s="22">
        <f>IF(G102="","",G102+3)</f>
        <v/>
      </c>
      <c r="I102" s="22">
        <f>IF(G102="","",G102+7)</f>
        <v/>
      </c>
      <c r="J102" s="22">
        <f>IF(G102="","",G102+14)</f>
        <v/>
      </c>
      <c r="K102" s="19" t="n"/>
      <c r="L102" s="19" t="n"/>
    </row>
    <row r="103">
      <c r="A103" s="19" t="n"/>
      <c r="B103" s="19" t="n"/>
      <c r="C103" s="19" t="n"/>
      <c r="D103" s="19" t="n"/>
      <c r="E103" s="19" t="n"/>
      <c r="F103" s="19" t="n"/>
      <c r="G103" s="21" t="n"/>
      <c r="H103" s="22">
        <f>IF(G103="","",G103+3)</f>
        <v/>
      </c>
      <c r="I103" s="22">
        <f>IF(G103="","",G103+7)</f>
        <v/>
      </c>
      <c r="J103" s="22">
        <f>IF(G103="","",G103+14)</f>
        <v/>
      </c>
      <c r="K103" s="19" t="n"/>
      <c r="L103" s="19" t="n"/>
    </row>
    <row r="104">
      <c r="A104" s="19" t="n"/>
      <c r="B104" s="19" t="n"/>
      <c r="C104" s="19" t="n"/>
      <c r="D104" s="19" t="n"/>
      <c r="E104" s="19" t="n"/>
      <c r="F104" s="19" t="n"/>
      <c r="G104" s="21" t="n"/>
      <c r="H104" s="22">
        <f>IF(G104="","",G104+3)</f>
        <v/>
      </c>
      <c r="I104" s="22">
        <f>IF(G104="","",G104+7)</f>
        <v/>
      </c>
      <c r="J104" s="22">
        <f>IF(G104="","",G104+14)</f>
        <v/>
      </c>
      <c r="K104" s="19" t="n"/>
      <c r="L104" s="19" t="n"/>
    </row>
    <row r="105">
      <c r="A105" s="19" t="n"/>
      <c r="B105" s="19" t="n"/>
      <c r="C105" s="19" t="n"/>
      <c r="D105" s="19" t="n"/>
      <c r="E105" s="19" t="n"/>
      <c r="F105" s="19" t="n"/>
      <c r="G105" s="21" t="n"/>
      <c r="H105" s="22">
        <f>IF(G105="","",G105+3)</f>
        <v/>
      </c>
      <c r="I105" s="22">
        <f>IF(G105="","",G105+7)</f>
        <v/>
      </c>
      <c r="J105" s="22">
        <f>IF(G105="","",G105+14)</f>
        <v/>
      </c>
      <c r="K105" s="19" t="n"/>
      <c r="L105" s="19" t="n"/>
    </row>
    <row r="106">
      <c r="A106" s="19" t="n"/>
      <c r="B106" s="19" t="n"/>
      <c r="C106" s="19" t="n"/>
      <c r="D106" s="19" t="n"/>
      <c r="E106" s="19" t="n"/>
      <c r="F106" s="19" t="n"/>
      <c r="G106" s="21" t="n"/>
      <c r="H106" s="22">
        <f>IF(G106="","",G106+3)</f>
        <v/>
      </c>
      <c r="I106" s="22">
        <f>IF(G106="","",G106+7)</f>
        <v/>
      </c>
      <c r="J106" s="22">
        <f>IF(G106="","",G106+14)</f>
        <v/>
      </c>
      <c r="K106" s="19" t="n"/>
      <c r="L106" s="19" t="n"/>
    </row>
    <row r="107">
      <c r="A107" s="19" t="n"/>
      <c r="B107" s="19" t="n"/>
      <c r="C107" s="19" t="n"/>
      <c r="D107" s="19" t="n"/>
      <c r="E107" s="19" t="n"/>
      <c r="F107" s="19" t="n"/>
      <c r="G107" s="21" t="n"/>
      <c r="H107" s="22">
        <f>IF(G107="","",G107+3)</f>
        <v/>
      </c>
      <c r="I107" s="22">
        <f>IF(G107="","",G107+7)</f>
        <v/>
      </c>
      <c r="J107" s="22">
        <f>IF(G107="","",G107+14)</f>
        <v/>
      </c>
      <c r="K107" s="19" t="n"/>
      <c r="L107" s="19" t="n"/>
    </row>
    <row r="108">
      <c r="A108" s="19" t="n"/>
      <c r="B108" s="19" t="n"/>
      <c r="C108" s="19" t="n"/>
      <c r="D108" s="19" t="n"/>
      <c r="E108" s="19" t="n"/>
      <c r="F108" s="19" t="n"/>
      <c r="G108" s="21" t="n"/>
      <c r="H108" s="22">
        <f>IF(G108="","",G108+3)</f>
        <v/>
      </c>
      <c r="I108" s="22">
        <f>IF(G108="","",G108+7)</f>
        <v/>
      </c>
      <c r="J108" s="22">
        <f>IF(G108="","",G108+14)</f>
        <v/>
      </c>
      <c r="K108" s="19" t="n"/>
      <c r="L108" s="19" t="n"/>
    </row>
    <row r="109">
      <c r="A109" s="19" t="n"/>
      <c r="B109" s="19" t="n"/>
      <c r="C109" s="19" t="n"/>
      <c r="D109" s="19" t="n"/>
      <c r="E109" s="19" t="n"/>
      <c r="F109" s="19" t="n"/>
      <c r="G109" s="21" t="n"/>
      <c r="H109" s="22">
        <f>IF(G109="","",G109+3)</f>
        <v/>
      </c>
      <c r="I109" s="22">
        <f>IF(G109="","",G109+7)</f>
        <v/>
      </c>
      <c r="J109" s="22">
        <f>IF(G109="","",G109+14)</f>
        <v/>
      </c>
      <c r="K109" s="19" t="n"/>
      <c r="L109" s="19" t="n"/>
    </row>
    <row r="110">
      <c r="A110" s="19" t="n"/>
      <c r="B110" s="19" t="n"/>
      <c r="C110" s="19" t="n"/>
      <c r="D110" s="19" t="n"/>
      <c r="E110" s="19" t="n"/>
      <c r="F110" s="19" t="n"/>
      <c r="G110" s="21" t="n"/>
      <c r="H110" s="22">
        <f>IF(G110="","",G110+3)</f>
        <v/>
      </c>
      <c r="I110" s="22">
        <f>IF(G110="","",G110+7)</f>
        <v/>
      </c>
      <c r="J110" s="22">
        <f>IF(G110="","",G110+14)</f>
        <v/>
      </c>
      <c r="K110" s="19" t="n"/>
      <c r="L110" s="19" t="n"/>
    </row>
    <row r="111">
      <c r="A111" s="19" t="n"/>
      <c r="B111" s="19" t="n"/>
      <c r="C111" s="19" t="n"/>
      <c r="D111" s="19" t="n"/>
      <c r="E111" s="19" t="n"/>
      <c r="F111" s="19" t="n"/>
      <c r="G111" s="21" t="n"/>
      <c r="H111" s="22">
        <f>IF(G111="","",G111+3)</f>
        <v/>
      </c>
      <c r="I111" s="22">
        <f>IF(G111="","",G111+7)</f>
        <v/>
      </c>
      <c r="J111" s="22">
        <f>IF(G111="","",G111+14)</f>
        <v/>
      </c>
      <c r="K111" s="19" t="n"/>
      <c r="L111" s="19" t="n"/>
    </row>
    <row r="112">
      <c r="A112" s="19" t="n"/>
      <c r="B112" s="19" t="n"/>
      <c r="C112" s="19" t="n"/>
      <c r="D112" s="19" t="n"/>
      <c r="E112" s="19" t="n"/>
      <c r="F112" s="19" t="n"/>
      <c r="G112" s="21" t="n"/>
      <c r="H112" s="22">
        <f>IF(G112="","",G112+3)</f>
        <v/>
      </c>
      <c r="I112" s="22">
        <f>IF(G112="","",G112+7)</f>
        <v/>
      </c>
      <c r="J112" s="22">
        <f>IF(G112="","",G112+14)</f>
        <v/>
      </c>
      <c r="K112" s="19" t="n"/>
      <c r="L112" s="19" t="n"/>
    </row>
    <row r="113">
      <c r="A113" s="19" t="n"/>
      <c r="B113" s="19" t="n"/>
      <c r="C113" s="19" t="n"/>
      <c r="D113" s="19" t="n"/>
      <c r="E113" s="19" t="n"/>
      <c r="F113" s="19" t="n"/>
      <c r="G113" s="21" t="n"/>
      <c r="H113" s="22">
        <f>IF(G113="","",G113+3)</f>
        <v/>
      </c>
      <c r="I113" s="22">
        <f>IF(G113="","",G113+7)</f>
        <v/>
      </c>
      <c r="J113" s="22">
        <f>IF(G113="","",G113+14)</f>
        <v/>
      </c>
      <c r="K113" s="19" t="n"/>
      <c r="L113" s="19" t="n"/>
    </row>
    <row r="114">
      <c r="A114" s="19" t="n"/>
      <c r="B114" s="19" t="n"/>
      <c r="C114" s="19" t="n"/>
      <c r="D114" s="19" t="n"/>
      <c r="E114" s="19" t="n"/>
      <c r="F114" s="19" t="n"/>
      <c r="G114" s="21" t="n"/>
      <c r="H114" s="22">
        <f>IF(G114="","",G114+3)</f>
        <v/>
      </c>
      <c r="I114" s="22">
        <f>IF(G114="","",G114+7)</f>
        <v/>
      </c>
      <c r="J114" s="22">
        <f>IF(G114="","",G114+14)</f>
        <v/>
      </c>
      <c r="K114" s="19" t="n"/>
      <c r="L114" s="19" t="n"/>
    </row>
    <row r="115">
      <c r="A115" s="19" t="n"/>
      <c r="B115" s="19" t="n"/>
      <c r="C115" s="19" t="n"/>
      <c r="D115" s="19" t="n"/>
      <c r="E115" s="19" t="n"/>
      <c r="F115" s="19" t="n"/>
      <c r="G115" s="21" t="n"/>
      <c r="H115" s="22">
        <f>IF(G115="","",G115+3)</f>
        <v/>
      </c>
      <c r="I115" s="22">
        <f>IF(G115="","",G115+7)</f>
        <v/>
      </c>
      <c r="J115" s="22">
        <f>IF(G115="","",G115+14)</f>
        <v/>
      </c>
      <c r="K115" s="19" t="n"/>
      <c r="L115" s="19" t="n"/>
    </row>
    <row r="116">
      <c r="A116" s="19" t="n"/>
      <c r="B116" s="19" t="n"/>
      <c r="C116" s="19" t="n"/>
      <c r="D116" s="19" t="n"/>
      <c r="E116" s="19" t="n"/>
      <c r="F116" s="19" t="n"/>
      <c r="G116" s="21" t="n"/>
      <c r="H116" s="22">
        <f>IF(G116="","",G116+3)</f>
        <v/>
      </c>
      <c r="I116" s="22">
        <f>IF(G116="","",G116+7)</f>
        <v/>
      </c>
      <c r="J116" s="22">
        <f>IF(G116="","",G116+14)</f>
        <v/>
      </c>
      <c r="K116" s="19" t="n"/>
      <c r="L116" s="19" t="n"/>
    </row>
    <row r="117">
      <c r="A117" s="19" t="n"/>
      <c r="B117" s="19" t="n"/>
      <c r="C117" s="19" t="n"/>
      <c r="D117" s="19" t="n"/>
      <c r="E117" s="19" t="n"/>
      <c r="F117" s="19" t="n"/>
      <c r="G117" s="21" t="n"/>
      <c r="H117" s="22">
        <f>IF(G117="","",G117+3)</f>
        <v/>
      </c>
      <c r="I117" s="22">
        <f>IF(G117="","",G117+7)</f>
        <v/>
      </c>
      <c r="J117" s="22">
        <f>IF(G117="","",G117+14)</f>
        <v/>
      </c>
      <c r="K117" s="19" t="n"/>
      <c r="L117" s="19" t="n"/>
    </row>
    <row r="118">
      <c r="A118" s="19" t="n"/>
      <c r="B118" s="19" t="n"/>
      <c r="C118" s="19" t="n"/>
      <c r="D118" s="19" t="n"/>
      <c r="E118" s="19" t="n"/>
      <c r="F118" s="19" t="n"/>
      <c r="G118" s="21" t="n"/>
      <c r="H118" s="22">
        <f>IF(G118="","",G118+3)</f>
        <v/>
      </c>
      <c r="I118" s="22">
        <f>IF(G118="","",G118+7)</f>
        <v/>
      </c>
      <c r="J118" s="22">
        <f>IF(G118="","",G118+14)</f>
        <v/>
      </c>
      <c r="K118" s="19" t="n"/>
      <c r="L118" s="19" t="n"/>
    </row>
    <row r="119">
      <c r="A119" s="19" t="n"/>
      <c r="B119" s="19" t="n"/>
      <c r="C119" s="19" t="n"/>
      <c r="D119" s="19" t="n"/>
      <c r="E119" s="19" t="n"/>
      <c r="F119" s="19" t="n"/>
      <c r="G119" s="21" t="n"/>
      <c r="H119" s="22">
        <f>IF(G119="","",G119+3)</f>
        <v/>
      </c>
      <c r="I119" s="22">
        <f>IF(G119="","",G119+7)</f>
        <v/>
      </c>
      <c r="J119" s="22">
        <f>IF(G119="","",G119+14)</f>
        <v/>
      </c>
      <c r="K119" s="19" t="n"/>
      <c r="L119" s="19" t="n"/>
    </row>
    <row r="120">
      <c r="A120" s="19" t="n"/>
      <c r="B120" s="19" t="n"/>
      <c r="C120" s="19" t="n"/>
      <c r="D120" s="19" t="n"/>
      <c r="E120" s="19" t="n"/>
      <c r="F120" s="19" t="n"/>
      <c r="G120" s="21" t="n"/>
      <c r="H120" s="22">
        <f>IF(G120="","",G120+3)</f>
        <v/>
      </c>
      <c r="I120" s="22">
        <f>IF(G120="","",G120+7)</f>
        <v/>
      </c>
      <c r="J120" s="22">
        <f>IF(G120="","",G120+14)</f>
        <v/>
      </c>
      <c r="K120" s="19" t="n"/>
      <c r="L120" s="19" t="n"/>
    </row>
    <row r="121">
      <c r="A121" s="19" t="n"/>
      <c r="B121" s="19" t="n"/>
      <c r="C121" s="19" t="n"/>
      <c r="D121" s="19" t="n"/>
      <c r="E121" s="19" t="n"/>
      <c r="F121" s="19" t="n"/>
      <c r="G121" s="21" t="n"/>
      <c r="H121" s="22">
        <f>IF(G121="","",G121+3)</f>
        <v/>
      </c>
      <c r="I121" s="22">
        <f>IF(G121="","",G121+7)</f>
        <v/>
      </c>
      <c r="J121" s="22">
        <f>IF(G121="","",G121+14)</f>
        <v/>
      </c>
      <c r="K121" s="19" t="n"/>
      <c r="L121" s="19" t="n"/>
    </row>
    <row r="122">
      <c r="A122" s="19" t="n"/>
      <c r="B122" s="19" t="n"/>
      <c r="C122" s="19" t="n"/>
      <c r="D122" s="19" t="n"/>
      <c r="E122" s="19" t="n"/>
      <c r="F122" s="19" t="n"/>
      <c r="G122" s="21" t="n"/>
      <c r="H122" s="22">
        <f>IF(G122="","",G122+3)</f>
        <v/>
      </c>
      <c r="I122" s="22">
        <f>IF(G122="","",G122+7)</f>
        <v/>
      </c>
      <c r="J122" s="22">
        <f>IF(G122="","",G122+14)</f>
        <v/>
      </c>
      <c r="K122" s="19" t="n"/>
      <c r="L122" s="19" t="n"/>
    </row>
    <row r="123">
      <c r="A123" s="19" t="n"/>
      <c r="B123" s="19" t="n"/>
      <c r="C123" s="19" t="n"/>
      <c r="D123" s="19" t="n"/>
      <c r="E123" s="19" t="n"/>
      <c r="F123" s="19" t="n"/>
      <c r="G123" s="21" t="n"/>
      <c r="H123" s="22">
        <f>IF(G123="","",G123+3)</f>
        <v/>
      </c>
      <c r="I123" s="22">
        <f>IF(G123="","",G123+7)</f>
        <v/>
      </c>
      <c r="J123" s="22">
        <f>IF(G123="","",G123+14)</f>
        <v/>
      </c>
      <c r="K123" s="19" t="n"/>
      <c r="L123" s="19" t="n"/>
    </row>
    <row r="124">
      <c r="A124" s="19" t="n"/>
      <c r="B124" s="19" t="n"/>
      <c r="C124" s="19" t="n"/>
      <c r="D124" s="19" t="n"/>
      <c r="E124" s="19" t="n"/>
      <c r="F124" s="19" t="n"/>
      <c r="G124" s="21" t="n"/>
      <c r="H124" s="22">
        <f>IF(G124="","",G124+3)</f>
        <v/>
      </c>
      <c r="I124" s="22">
        <f>IF(G124="","",G124+7)</f>
        <v/>
      </c>
      <c r="J124" s="22">
        <f>IF(G124="","",G124+14)</f>
        <v/>
      </c>
      <c r="K124" s="19" t="n"/>
      <c r="L124" s="19" t="n"/>
    </row>
    <row r="125">
      <c r="A125" s="19" t="n"/>
      <c r="B125" s="19" t="n"/>
      <c r="C125" s="19" t="n"/>
      <c r="D125" s="19" t="n"/>
      <c r="E125" s="19" t="n"/>
      <c r="F125" s="19" t="n"/>
      <c r="G125" s="21" t="n"/>
      <c r="H125" s="22">
        <f>IF(G125="","",G125+3)</f>
        <v/>
      </c>
      <c r="I125" s="22">
        <f>IF(G125="","",G125+7)</f>
        <v/>
      </c>
      <c r="J125" s="22">
        <f>IF(G125="","",G125+14)</f>
        <v/>
      </c>
      <c r="K125" s="19" t="n"/>
      <c r="L125" s="19" t="n"/>
    </row>
    <row r="126">
      <c r="A126" s="19" t="n"/>
      <c r="B126" s="19" t="n"/>
      <c r="C126" s="19" t="n"/>
      <c r="D126" s="19" t="n"/>
      <c r="E126" s="19" t="n"/>
      <c r="F126" s="19" t="n"/>
      <c r="G126" s="21" t="n"/>
      <c r="H126" s="22">
        <f>IF(G126="","",G126+3)</f>
        <v/>
      </c>
      <c r="I126" s="22">
        <f>IF(G126="","",G126+7)</f>
        <v/>
      </c>
      <c r="J126" s="22">
        <f>IF(G126="","",G126+14)</f>
        <v/>
      </c>
      <c r="K126" s="19" t="n"/>
      <c r="L126" s="19" t="n"/>
    </row>
    <row r="127">
      <c r="A127" s="19" t="n"/>
      <c r="B127" s="19" t="n"/>
      <c r="C127" s="19" t="n"/>
      <c r="D127" s="19" t="n"/>
      <c r="E127" s="19" t="n"/>
      <c r="F127" s="19" t="n"/>
      <c r="G127" s="21" t="n"/>
      <c r="H127" s="22">
        <f>IF(G127="","",G127+3)</f>
        <v/>
      </c>
      <c r="I127" s="22">
        <f>IF(G127="","",G127+7)</f>
        <v/>
      </c>
      <c r="J127" s="22">
        <f>IF(G127="","",G127+14)</f>
        <v/>
      </c>
      <c r="K127" s="19" t="n"/>
      <c r="L127" s="19" t="n"/>
    </row>
    <row r="128">
      <c r="A128" s="19" t="n"/>
      <c r="B128" s="19" t="n"/>
      <c r="C128" s="19" t="n"/>
      <c r="D128" s="19" t="n"/>
      <c r="E128" s="19" t="n"/>
      <c r="F128" s="19" t="n"/>
      <c r="G128" s="21" t="n"/>
      <c r="H128" s="22">
        <f>IF(G128="","",G128+3)</f>
        <v/>
      </c>
      <c r="I128" s="22">
        <f>IF(G128="","",G128+7)</f>
        <v/>
      </c>
      <c r="J128" s="22">
        <f>IF(G128="","",G128+14)</f>
        <v/>
      </c>
      <c r="K128" s="19" t="n"/>
      <c r="L128" s="19" t="n"/>
    </row>
    <row r="129">
      <c r="A129" s="19" t="n"/>
      <c r="B129" s="19" t="n"/>
      <c r="C129" s="19" t="n"/>
      <c r="D129" s="19" t="n"/>
      <c r="E129" s="19" t="n"/>
      <c r="F129" s="19" t="n"/>
      <c r="G129" s="21" t="n"/>
      <c r="H129" s="22">
        <f>IF(G129="","",G129+3)</f>
        <v/>
      </c>
      <c r="I129" s="22">
        <f>IF(G129="","",G129+7)</f>
        <v/>
      </c>
      <c r="J129" s="22">
        <f>IF(G129="","",G129+14)</f>
        <v/>
      </c>
      <c r="K129" s="19" t="n"/>
      <c r="L129" s="19" t="n"/>
    </row>
    <row r="130">
      <c r="A130" s="19" t="n"/>
      <c r="B130" s="19" t="n"/>
      <c r="C130" s="19" t="n"/>
      <c r="D130" s="19" t="n"/>
      <c r="E130" s="19" t="n"/>
      <c r="F130" s="19" t="n"/>
      <c r="G130" s="21" t="n"/>
      <c r="H130" s="22">
        <f>IF(G130="","",G130+3)</f>
        <v/>
      </c>
      <c r="I130" s="22">
        <f>IF(G130="","",G130+7)</f>
        <v/>
      </c>
      <c r="J130" s="22">
        <f>IF(G130="","",G130+14)</f>
        <v/>
      </c>
      <c r="K130" s="19" t="n"/>
      <c r="L130" s="19" t="n"/>
    </row>
    <row r="131">
      <c r="A131" s="19" t="n"/>
      <c r="B131" s="19" t="n"/>
      <c r="C131" s="19" t="n"/>
      <c r="D131" s="19" t="n"/>
      <c r="E131" s="19" t="n"/>
      <c r="F131" s="19" t="n"/>
      <c r="G131" s="21" t="n"/>
      <c r="H131" s="22">
        <f>IF(G131="","",G131+3)</f>
        <v/>
      </c>
      <c r="I131" s="22">
        <f>IF(G131="","",G131+7)</f>
        <v/>
      </c>
      <c r="J131" s="22">
        <f>IF(G131="","",G131+14)</f>
        <v/>
      </c>
      <c r="K131" s="19" t="n"/>
      <c r="L131" s="19" t="n"/>
    </row>
    <row r="132">
      <c r="A132" s="19" t="n"/>
      <c r="B132" s="19" t="n"/>
      <c r="C132" s="19" t="n"/>
      <c r="D132" s="19" t="n"/>
      <c r="E132" s="19" t="n"/>
      <c r="F132" s="19" t="n"/>
      <c r="G132" s="21" t="n"/>
      <c r="H132" s="22">
        <f>IF(G132="","",G132+3)</f>
        <v/>
      </c>
      <c r="I132" s="22">
        <f>IF(G132="","",G132+7)</f>
        <v/>
      </c>
      <c r="J132" s="22">
        <f>IF(G132="","",G132+14)</f>
        <v/>
      </c>
      <c r="K132" s="19" t="n"/>
      <c r="L132" s="19" t="n"/>
    </row>
    <row r="133">
      <c r="A133" s="19" t="n"/>
      <c r="B133" s="19" t="n"/>
      <c r="C133" s="19" t="n"/>
      <c r="D133" s="19" t="n"/>
      <c r="E133" s="19" t="n"/>
      <c r="F133" s="19" t="n"/>
      <c r="G133" s="21" t="n"/>
      <c r="H133" s="22">
        <f>IF(G133="","",G133+3)</f>
        <v/>
      </c>
      <c r="I133" s="22">
        <f>IF(G133="","",G133+7)</f>
        <v/>
      </c>
      <c r="J133" s="22">
        <f>IF(G133="","",G133+14)</f>
        <v/>
      </c>
      <c r="K133" s="19" t="n"/>
      <c r="L133" s="19" t="n"/>
    </row>
    <row r="134">
      <c r="A134" s="19" t="n"/>
      <c r="B134" s="19" t="n"/>
      <c r="C134" s="19" t="n"/>
      <c r="D134" s="19" t="n"/>
      <c r="E134" s="19" t="n"/>
      <c r="F134" s="19" t="n"/>
      <c r="G134" s="21" t="n"/>
      <c r="H134" s="22">
        <f>IF(G134="","",G134+3)</f>
        <v/>
      </c>
      <c r="I134" s="22">
        <f>IF(G134="","",G134+7)</f>
        <v/>
      </c>
      <c r="J134" s="22">
        <f>IF(G134="","",G134+14)</f>
        <v/>
      </c>
      <c r="K134" s="19" t="n"/>
      <c r="L134" s="19" t="n"/>
    </row>
    <row r="135">
      <c r="A135" s="19" t="n"/>
      <c r="B135" s="19" t="n"/>
      <c r="C135" s="19" t="n"/>
      <c r="D135" s="19" t="n"/>
      <c r="E135" s="19" t="n"/>
      <c r="F135" s="19" t="n"/>
      <c r="G135" s="21" t="n"/>
      <c r="H135" s="22">
        <f>IF(G135="","",G135+3)</f>
        <v/>
      </c>
      <c r="I135" s="22">
        <f>IF(G135="","",G135+7)</f>
        <v/>
      </c>
      <c r="J135" s="22">
        <f>IF(G135="","",G135+14)</f>
        <v/>
      </c>
      <c r="K135" s="19" t="n"/>
      <c r="L135" s="19" t="n"/>
    </row>
    <row r="136">
      <c r="A136" s="19" t="n"/>
      <c r="B136" s="19" t="n"/>
      <c r="C136" s="19" t="n"/>
      <c r="D136" s="19" t="n"/>
      <c r="E136" s="19" t="n"/>
      <c r="F136" s="19" t="n"/>
      <c r="G136" s="21" t="n"/>
      <c r="H136" s="22">
        <f>IF(G136="","",G136+3)</f>
        <v/>
      </c>
      <c r="I136" s="22">
        <f>IF(G136="","",G136+7)</f>
        <v/>
      </c>
      <c r="J136" s="22">
        <f>IF(G136="","",G136+14)</f>
        <v/>
      </c>
      <c r="K136" s="19" t="n"/>
      <c r="L136" s="19" t="n"/>
    </row>
    <row r="137">
      <c r="A137" s="19" t="n"/>
      <c r="B137" s="19" t="n"/>
      <c r="C137" s="19" t="n"/>
      <c r="D137" s="19" t="n"/>
      <c r="E137" s="19" t="n"/>
      <c r="F137" s="19" t="n"/>
      <c r="G137" s="21" t="n"/>
      <c r="H137" s="22">
        <f>IF(G137="","",G137+3)</f>
        <v/>
      </c>
      <c r="I137" s="22">
        <f>IF(G137="","",G137+7)</f>
        <v/>
      </c>
      <c r="J137" s="22">
        <f>IF(G137="","",G137+14)</f>
        <v/>
      </c>
      <c r="K137" s="19" t="n"/>
      <c r="L137" s="19" t="n"/>
    </row>
    <row r="138">
      <c r="A138" s="19" t="n"/>
      <c r="B138" s="19" t="n"/>
      <c r="C138" s="19" t="n"/>
      <c r="D138" s="19" t="n"/>
      <c r="E138" s="19" t="n"/>
      <c r="F138" s="19" t="n"/>
      <c r="G138" s="21" t="n"/>
      <c r="H138" s="22">
        <f>IF(G138="","",G138+3)</f>
        <v/>
      </c>
      <c r="I138" s="22">
        <f>IF(G138="","",G138+7)</f>
        <v/>
      </c>
      <c r="J138" s="22">
        <f>IF(G138="","",G138+14)</f>
        <v/>
      </c>
      <c r="K138" s="19" t="n"/>
      <c r="L138" s="19" t="n"/>
    </row>
    <row r="139">
      <c r="A139" s="19" t="n"/>
      <c r="B139" s="19" t="n"/>
      <c r="C139" s="19" t="n"/>
      <c r="D139" s="19" t="n"/>
      <c r="E139" s="19" t="n"/>
      <c r="F139" s="19" t="n"/>
      <c r="G139" s="21" t="n"/>
      <c r="H139" s="22">
        <f>IF(G139="","",G139+3)</f>
        <v/>
      </c>
      <c r="I139" s="22">
        <f>IF(G139="","",G139+7)</f>
        <v/>
      </c>
      <c r="J139" s="22">
        <f>IF(G139="","",G139+14)</f>
        <v/>
      </c>
      <c r="K139" s="19" t="n"/>
      <c r="L139" s="19" t="n"/>
    </row>
    <row r="140">
      <c r="A140" s="19" t="n"/>
      <c r="B140" s="19" t="n"/>
      <c r="C140" s="19" t="n"/>
      <c r="D140" s="19" t="n"/>
      <c r="E140" s="19" t="n"/>
      <c r="F140" s="19" t="n"/>
      <c r="G140" s="21" t="n"/>
      <c r="H140" s="22">
        <f>IF(G140="","",G140+3)</f>
        <v/>
      </c>
      <c r="I140" s="22">
        <f>IF(G140="","",G140+7)</f>
        <v/>
      </c>
      <c r="J140" s="22">
        <f>IF(G140="","",G140+14)</f>
        <v/>
      </c>
      <c r="K140" s="19" t="n"/>
      <c r="L140" s="19" t="n"/>
    </row>
    <row r="141">
      <c r="A141" s="19" t="n"/>
      <c r="B141" s="19" t="n"/>
      <c r="C141" s="19" t="n"/>
      <c r="D141" s="19" t="n"/>
      <c r="E141" s="19" t="n"/>
      <c r="F141" s="19" t="n"/>
      <c r="G141" s="21" t="n"/>
      <c r="H141" s="22">
        <f>IF(G141="","",G141+3)</f>
        <v/>
      </c>
      <c r="I141" s="22">
        <f>IF(G141="","",G141+7)</f>
        <v/>
      </c>
      <c r="J141" s="22">
        <f>IF(G141="","",G141+14)</f>
        <v/>
      </c>
      <c r="K141" s="19" t="n"/>
      <c r="L141" s="19" t="n"/>
    </row>
    <row r="142">
      <c r="A142" s="19" t="n"/>
      <c r="B142" s="19" t="n"/>
      <c r="C142" s="19" t="n"/>
      <c r="D142" s="19" t="n"/>
      <c r="E142" s="19" t="n"/>
      <c r="F142" s="19" t="n"/>
      <c r="G142" s="21" t="n"/>
      <c r="H142" s="22">
        <f>IF(G142="","",G142+3)</f>
        <v/>
      </c>
      <c r="I142" s="22">
        <f>IF(G142="","",G142+7)</f>
        <v/>
      </c>
      <c r="J142" s="22">
        <f>IF(G142="","",G142+14)</f>
        <v/>
      </c>
      <c r="K142" s="19" t="n"/>
      <c r="L142" s="19" t="n"/>
    </row>
    <row r="143">
      <c r="A143" s="19" t="n"/>
      <c r="B143" s="19" t="n"/>
      <c r="C143" s="19" t="n"/>
      <c r="D143" s="19" t="n"/>
      <c r="E143" s="19" t="n"/>
      <c r="F143" s="19" t="n"/>
      <c r="G143" s="21" t="n"/>
      <c r="H143" s="22">
        <f>IF(G143="","",G143+3)</f>
        <v/>
      </c>
      <c r="I143" s="22">
        <f>IF(G143="","",G143+7)</f>
        <v/>
      </c>
      <c r="J143" s="22">
        <f>IF(G143="","",G143+14)</f>
        <v/>
      </c>
      <c r="K143" s="19" t="n"/>
      <c r="L143" s="19" t="n"/>
    </row>
    <row r="144">
      <c r="A144" s="19" t="n"/>
      <c r="B144" s="19" t="n"/>
      <c r="C144" s="19" t="n"/>
      <c r="D144" s="19" t="n"/>
      <c r="E144" s="19" t="n"/>
      <c r="F144" s="19" t="n"/>
      <c r="G144" s="21" t="n"/>
      <c r="H144" s="22">
        <f>IF(G144="","",G144+3)</f>
        <v/>
      </c>
      <c r="I144" s="22">
        <f>IF(G144="","",G144+7)</f>
        <v/>
      </c>
      <c r="J144" s="22">
        <f>IF(G144="","",G144+14)</f>
        <v/>
      </c>
      <c r="K144" s="19" t="n"/>
      <c r="L144" s="19" t="n"/>
    </row>
    <row r="145">
      <c r="A145" s="19" t="n"/>
      <c r="B145" s="19" t="n"/>
      <c r="C145" s="19" t="n"/>
      <c r="D145" s="19" t="n"/>
      <c r="E145" s="19" t="n"/>
      <c r="F145" s="19" t="n"/>
      <c r="G145" s="21" t="n"/>
      <c r="H145" s="22">
        <f>IF(G145="","",G145+3)</f>
        <v/>
      </c>
      <c r="I145" s="22">
        <f>IF(G145="","",G145+7)</f>
        <v/>
      </c>
      <c r="J145" s="22">
        <f>IF(G145="","",G145+14)</f>
        <v/>
      </c>
      <c r="K145" s="19" t="n"/>
      <c r="L145" s="19" t="n"/>
    </row>
    <row r="146">
      <c r="A146" s="19" t="n"/>
      <c r="B146" s="19" t="n"/>
      <c r="C146" s="19" t="n"/>
      <c r="D146" s="19" t="n"/>
      <c r="E146" s="19" t="n"/>
      <c r="F146" s="19" t="n"/>
      <c r="G146" s="21" t="n"/>
      <c r="H146" s="22">
        <f>IF(G146="","",G146+3)</f>
        <v/>
      </c>
      <c r="I146" s="22">
        <f>IF(G146="","",G146+7)</f>
        <v/>
      </c>
      <c r="J146" s="22">
        <f>IF(G146="","",G146+14)</f>
        <v/>
      </c>
      <c r="K146" s="19" t="n"/>
      <c r="L146" s="19" t="n"/>
    </row>
    <row r="147">
      <c r="A147" s="19" t="n"/>
      <c r="B147" s="19" t="n"/>
      <c r="C147" s="19" t="n"/>
      <c r="D147" s="19" t="n"/>
      <c r="E147" s="19" t="n"/>
      <c r="F147" s="19" t="n"/>
      <c r="G147" s="21" t="n"/>
      <c r="H147" s="22">
        <f>IF(G147="","",G147+3)</f>
        <v/>
      </c>
      <c r="I147" s="22">
        <f>IF(G147="","",G147+7)</f>
        <v/>
      </c>
      <c r="J147" s="22">
        <f>IF(G147="","",G147+14)</f>
        <v/>
      </c>
      <c r="K147" s="19" t="n"/>
      <c r="L147" s="19" t="n"/>
    </row>
    <row r="148">
      <c r="A148" s="19" t="n"/>
      <c r="B148" s="19" t="n"/>
      <c r="C148" s="19" t="n"/>
      <c r="D148" s="19" t="n"/>
      <c r="E148" s="19" t="n"/>
      <c r="F148" s="19" t="n"/>
      <c r="G148" s="21" t="n"/>
      <c r="H148" s="22">
        <f>IF(G148="","",G148+3)</f>
        <v/>
      </c>
      <c r="I148" s="22">
        <f>IF(G148="","",G148+7)</f>
        <v/>
      </c>
      <c r="J148" s="22">
        <f>IF(G148="","",G148+14)</f>
        <v/>
      </c>
      <c r="K148" s="19" t="n"/>
      <c r="L148" s="19" t="n"/>
    </row>
    <row r="149">
      <c r="A149" s="19" t="n"/>
      <c r="B149" s="19" t="n"/>
      <c r="C149" s="19" t="n"/>
      <c r="D149" s="19" t="n"/>
      <c r="E149" s="19" t="n"/>
      <c r="F149" s="19" t="n"/>
      <c r="G149" s="21" t="n"/>
      <c r="H149" s="22">
        <f>IF(G149="","",G149+3)</f>
        <v/>
      </c>
      <c r="I149" s="22">
        <f>IF(G149="","",G149+7)</f>
        <v/>
      </c>
      <c r="J149" s="22">
        <f>IF(G149="","",G149+14)</f>
        <v/>
      </c>
      <c r="K149" s="19" t="n"/>
      <c r="L149" s="19" t="n"/>
    </row>
    <row r="150">
      <c r="A150" s="19" t="n"/>
      <c r="B150" s="19" t="n"/>
      <c r="C150" s="19" t="n"/>
      <c r="D150" s="19" t="n"/>
      <c r="E150" s="19" t="n"/>
      <c r="F150" s="19" t="n"/>
      <c r="G150" s="21" t="n"/>
      <c r="H150" s="22">
        <f>IF(G150="","",G150+3)</f>
        <v/>
      </c>
      <c r="I150" s="22">
        <f>IF(G150="","",G150+7)</f>
        <v/>
      </c>
      <c r="J150" s="22">
        <f>IF(G150="","",G150+14)</f>
        <v/>
      </c>
      <c r="K150" s="19" t="n"/>
      <c r="L150" s="19" t="n"/>
    </row>
    <row r="151">
      <c r="A151" s="19" t="n"/>
      <c r="B151" s="19" t="n"/>
      <c r="C151" s="19" t="n"/>
      <c r="D151" s="19" t="n"/>
      <c r="E151" s="19" t="n"/>
      <c r="F151" s="19" t="n"/>
      <c r="G151" s="21" t="n"/>
      <c r="H151" s="22">
        <f>IF(G151="","",G151+3)</f>
        <v/>
      </c>
      <c r="I151" s="22">
        <f>IF(G151="","",G151+7)</f>
        <v/>
      </c>
      <c r="J151" s="22">
        <f>IF(G151="","",G151+14)</f>
        <v/>
      </c>
      <c r="K151" s="19" t="n"/>
      <c r="L151" s="19" t="n"/>
    </row>
    <row r="152">
      <c r="A152" s="19" t="n"/>
      <c r="B152" s="19" t="n"/>
      <c r="C152" s="19" t="n"/>
      <c r="D152" s="19" t="n"/>
      <c r="E152" s="19" t="n"/>
      <c r="F152" s="19" t="n"/>
      <c r="G152" s="21" t="n"/>
      <c r="H152" s="22">
        <f>IF(G152="","",G152+3)</f>
        <v/>
      </c>
      <c r="I152" s="22">
        <f>IF(G152="","",G152+7)</f>
        <v/>
      </c>
      <c r="J152" s="22">
        <f>IF(G152="","",G152+14)</f>
        <v/>
      </c>
      <c r="K152" s="19" t="n"/>
      <c r="L152" s="19" t="n"/>
    </row>
    <row r="153">
      <c r="A153" s="19" t="n"/>
      <c r="B153" s="19" t="n"/>
      <c r="C153" s="19" t="n"/>
      <c r="D153" s="19" t="n"/>
      <c r="E153" s="19" t="n"/>
      <c r="F153" s="19" t="n"/>
      <c r="G153" s="21" t="n"/>
      <c r="H153" s="22">
        <f>IF(G153="","",G153+3)</f>
        <v/>
      </c>
      <c r="I153" s="22">
        <f>IF(G153="","",G153+7)</f>
        <v/>
      </c>
      <c r="J153" s="22">
        <f>IF(G153="","",G153+14)</f>
        <v/>
      </c>
      <c r="K153" s="19" t="n"/>
      <c r="L153" s="19" t="n"/>
    </row>
    <row r="154">
      <c r="A154" s="19" t="n"/>
      <c r="B154" s="19" t="n"/>
      <c r="C154" s="19" t="n"/>
      <c r="D154" s="19" t="n"/>
      <c r="E154" s="19" t="n"/>
      <c r="F154" s="19" t="n"/>
      <c r="G154" s="21" t="n"/>
      <c r="H154" s="22">
        <f>IF(G154="","",G154+3)</f>
        <v/>
      </c>
      <c r="I154" s="22">
        <f>IF(G154="","",G154+7)</f>
        <v/>
      </c>
      <c r="J154" s="22">
        <f>IF(G154="","",G154+14)</f>
        <v/>
      </c>
      <c r="K154" s="19" t="n"/>
      <c r="L154" s="19" t="n"/>
    </row>
    <row r="155">
      <c r="A155" s="19" t="n"/>
      <c r="B155" s="19" t="n"/>
      <c r="C155" s="19" t="n"/>
      <c r="D155" s="19" t="n"/>
      <c r="E155" s="19" t="n"/>
      <c r="F155" s="19" t="n"/>
      <c r="G155" s="21" t="n"/>
      <c r="H155" s="22">
        <f>IF(G155="","",G155+3)</f>
        <v/>
      </c>
      <c r="I155" s="22">
        <f>IF(G155="","",G155+7)</f>
        <v/>
      </c>
      <c r="J155" s="22">
        <f>IF(G155="","",G155+14)</f>
        <v/>
      </c>
      <c r="K155" s="19" t="n"/>
      <c r="L155" s="19" t="n"/>
    </row>
    <row r="156">
      <c r="A156" s="19" t="n"/>
      <c r="B156" s="19" t="n"/>
      <c r="C156" s="19" t="n"/>
      <c r="D156" s="19" t="n"/>
      <c r="E156" s="19" t="n"/>
      <c r="F156" s="19" t="n"/>
      <c r="G156" s="21" t="n"/>
      <c r="H156" s="22">
        <f>IF(G156="","",G156+3)</f>
        <v/>
      </c>
      <c r="I156" s="22">
        <f>IF(G156="","",G156+7)</f>
        <v/>
      </c>
      <c r="J156" s="22">
        <f>IF(G156="","",G156+14)</f>
        <v/>
      </c>
      <c r="K156" s="19" t="n"/>
      <c r="L156" s="19" t="n"/>
    </row>
    <row r="157">
      <c r="A157" s="19" t="n"/>
      <c r="B157" s="19" t="n"/>
      <c r="C157" s="19" t="n"/>
      <c r="D157" s="19" t="n"/>
      <c r="E157" s="19" t="n"/>
      <c r="F157" s="19" t="n"/>
      <c r="G157" s="21" t="n"/>
      <c r="H157" s="22">
        <f>IF(G157="","",G157+3)</f>
        <v/>
      </c>
      <c r="I157" s="22">
        <f>IF(G157="","",G157+7)</f>
        <v/>
      </c>
      <c r="J157" s="22">
        <f>IF(G157="","",G157+14)</f>
        <v/>
      </c>
      <c r="K157" s="19" t="n"/>
      <c r="L157" s="19" t="n"/>
    </row>
    <row r="158">
      <c r="A158" s="19" t="n"/>
      <c r="B158" s="19" t="n"/>
      <c r="C158" s="19" t="n"/>
      <c r="D158" s="19" t="n"/>
      <c r="E158" s="19" t="n"/>
      <c r="F158" s="19" t="n"/>
      <c r="G158" s="21" t="n"/>
      <c r="H158" s="22">
        <f>IF(G158="","",G158+3)</f>
        <v/>
      </c>
      <c r="I158" s="22">
        <f>IF(G158="","",G158+7)</f>
        <v/>
      </c>
      <c r="J158" s="22">
        <f>IF(G158="","",G158+14)</f>
        <v/>
      </c>
      <c r="K158" s="19" t="n"/>
      <c r="L158" s="19" t="n"/>
    </row>
    <row r="159">
      <c r="A159" s="19" t="n"/>
      <c r="B159" s="19" t="n"/>
      <c r="C159" s="19" t="n"/>
      <c r="D159" s="19" t="n"/>
      <c r="E159" s="19" t="n"/>
      <c r="F159" s="19" t="n"/>
      <c r="G159" s="21" t="n"/>
      <c r="H159" s="22">
        <f>IF(G159="","",G159+3)</f>
        <v/>
      </c>
      <c r="I159" s="22">
        <f>IF(G159="","",G159+7)</f>
        <v/>
      </c>
      <c r="J159" s="22">
        <f>IF(G159="","",G159+14)</f>
        <v/>
      </c>
      <c r="K159" s="19" t="n"/>
      <c r="L159" s="19" t="n"/>
    </row>
    <row r="160">
      <c r="A160" s="19" t="n"/>
      <c r="B160" s="19" t="n"/>
      <c r="C160" s="19" t="n"/>
      <c r="D160" s="19" t="n"/>
      <c r="E160" s="19" t="n"/>
      <c r="F160" s="19" t="n"/>
      <c r="G160" s="21" t="n"/>
      <c r="H160" s="22">
        <f>IF(G160="","",G160+3)</f>
        <v/>
      </c>
      <c r="I160" s="22">
        <f>IF(G160="","",G160+7)</f>
        <v/>
      </c>
      <c r="J160" s="22">
        <f>IF(G160="","",G160+14)</f>
        <v/>
      </c>
      <c r="K160" s="19" t="n"/>
      <c r="L160" s="19" t="n"/>
    </row>
    <row r="161">
      <c r="A161" s="19" t="n"/>
      <c r="B161" s="19" t="n"/>
      <c r="C161" s="19" t="n"/>
      <c r="D161" s="19" t="n"/>
      <c r="E161" s="19" t="n"/>
      <c r="F161" s="19" t="n"/>
      <c r="G161" s="21" t="n"/>
      <c r="H161" s="22">
        <f>IF(G161="","",G161+3)</f>
        <v/>
      </c>
      <c r="I161" s="22">
        <f>IF(G161="","",G161+7)</f>
        <v/>
      </c>
      <c r="J161" s="22">
        <f>IF(G161="","",G161+14)</f>
        <v/>
      </c>
      <c r="K161" s="19" t="n"/>
      <c r="L161" s="19" t="n"/>
    </row>
    <row r="162">
      <c r="A162" s="19" t="n"/>
      <c r="B162" s="19" t="n"/>
      <c r="C162" s="19" t="n"/>
      <c r="D162" s="19" t="n"/>
      <c r="E162" s="19" t="n"/>
      <c r="F162" s="19" t="n"/>
      <c r="G162" s="21" t="n"/>
      <c r="H162" s="22">
        <f>IF(G162="","",G162+3)</f>
        <v/>
      </c>
      <c r="I162" s="22">
        <f>IF(G162="","",G162+7)</f>
        <v/>
      </c>
      <c r="J162" s="22">
        <f>IF(G162="","",G162+14)</f>
        <v/>
      </c>
      <c r="K162" s="19" t="n"/>
      <c r="L162" s="19" t="n"/>
    </row>
    <row r="163">
      <c r="A163" s="19" t="n"/>
      <c r="B163" s="19" t="n"/>
      <c r="C163" s="19" t="n"/>
      <c r="D163" s="19" t="n"/>
      <c r="E163" s="19" t="n"/>
      <c r="F163" s="19" t="n"/>
      <c r="G163" s="21" t="n"/>
      <c r="H163" s="22">
        <f>IF(G163="","",G163+3)</f>
        <v/>
      </c>
      <c r="I163" s="22">
        <f>IF(G163="","",G163+7)</f>
        <v/>
      </c>
      <c r="J163" s="22">
        <f>IF(G163="","",G163+14)</f>
        <v/>
      </c>
      <c r="K163" s="19" t="n"/>
      <c r="L163" s="19" t="n"/>
    </row>
    <row r="164">
      <c r="A164" s="19" t="n"/>
      <c r="B164" s="19" t="n"/>
      <c r="C164" s="19" t="n"/>
      <c r="D164" s="19" t="n"/>
      <c r="E164" s="19" t="n"/>
      <c r="F164" s="19" t="n"/>
      <c r="G164" s="21" t="n"/>
      <c r="H164" s="22">
        <f>IF(G164="","",G164+3)</f>
        <v/>
      </c>
      <c r="I164" s="22">
        <f>IF(G164="","",G164+7)</f>
        <v/>
      </c>
      <c r="J164" s="22">
        <f>IF(G164="","",G164+14)</f>
        <v/>
      </c>
      <c r="K164" s="19" t="n"/>
      <c r="L164" s="19" t="n"/>
    </row>
    <row r="165">
      <c r="A165" s="19" t="n"/>
      <c r="B165" s="19" t="n"/>
      <c r="C165" s="19" t="n"/>
      <c r="D165" s="19" t="n"/>
      <c r="E165" s="19" t="n"/>
      <c r="F165" s="19" t="n"/>
      <c r="G165" s="21" t="n"/>
      <c r="H165" s="22">
        <f>IF(G165="","",G165+3)</f>
        <v/>
      </c>
      <c r="I165" s="22">
        <f>IF(G165="","",G165+7)</f>
        <v/>
      </c>
      <c r="J165" s="22">
        <f>IF(G165="","",G165+14)</f>
        <v/>
      </c>
      <c r="K165" s="19" t="n"/>
      <c r="L165" s="19" t="n"/>
    </row>
    <row r="166">
      <c r="A166" s="19" t="n"/>
      <c r="B166" s="19" t="n"/>
      <c r="C166" s="19" t="n"/>
      <c r="D166" s="19" t="n"/>
      <c r="E166" s="19" t="n"/>
      <c r="F166" s="19" t="n"/>
      <c r="G166" s="21" t="n"/>
      <c r="H166" s="22">
        <f>IF(G166="","",G166+3)</f>
        <v/>
      </c>
      <c r="I166" s="22">
        <f>IF(G166="","",G166+7)</f>
        <v/>
      </c>
      <c r="J166" s="22">
        <f>IF(G166="","",G166+14)</f>
        <v/>
      </c>
      <c r="K166" s="19" t="n"/>
      <c r="L166" s="19" t="n"/>
    </row>
    <row r="167">
      <c r="A167" s="19" t="n"/>
      <c r="B167" s="19" t="n"/>
      <c r="C167" s="19" t="n"/>
      <c r="D167" s="19" t="n"/>
      <c r="E167" s="19" t="n"/>
      <c r="F167" s="19" t="n"/>
      <c r="G167" s="21" t="n"/>
      <c r="H167" s="22">
        <f>IF(G167="","",G167+3)</f>
        <v/>
      </c>
      <c r="I167" s="22">
        <f>IF(G167="","",G167+7)</f>
        <v/>
      </c>
      <c r="J167" s="22">
        <f>IF(G167="","",G167+14)</f>
        <v/>
      </c>
      <c r="K167" s="19" t="n"/>
      <c r="L167" s="19" t="n"/>
    </row>
    <row r="168">
      <c r="A168" s="19" t="n"/>
      <c r="B168" s="19" t="n"/>
      <c r="C168" s="19" t="n"/>
      <c r="D168" s="19" t="n"/>
      <c r="E168" s="19" t="n"/>
      <c r="F168" s="19" t="n"/>
      <c r="G168" s="21" t="n"/>
      <c r="H168" s="22">
        <f>IF(G168="","",G168+3)</f>
        <v/>
      </c>
      <c r="I168" s="22">
        <f>IF(G168="","",G168+7)</f>
        <v/>
      </c>
      <c r="J168" s="22">
        <f>IF(G168="","",G168+14)</f>
        <v/>
      </c>
      <c r="K168" s="19" t="n"/>
      <c r="L168" s="19" t="n"/>
    </row>
    <row r="169">
      <c r="A169" s="19" t="n"/>
      <c r="B169" s="19" t="n"/>
      <c r="C169" s="19" t="n"/>
      <c r="D169" s="19" t="n"/>
      <c r="E169" s="19" t="n"/>
      <c r="F169" s="19" t="n"/>
      <c r="G169" s="21" t="n"/>
      <c r="H169" s="22">
        <f>IF(G169="","",G169+3)</f>
        <v/>
      </c>
      <c r="I169" s="22">
        <f>IF(G169="","",G169+7)</f>
        <v/>
      </c>
      <c r="J169" s="22">
        <f>IF(G169="","",G169+14)</f>
        <v/>
      </c>
      <c r="K169" s="19" t="n"/>
      <c r="L169" s="19" t="n"/>
    </row>
    <row r="170">
      <c r="A170" s="19" t="n"/>
      <c r="B170" s="19" t="n"/>
      <c r="C170" s="19" t="n"/>
      <c r="D170" s="19" t="n"/>
      <c r="E170" s="19" t="n"/>
      <c r="F170" s="19" t="n"/>
      <c r="G170" s="21" t="n"/>
      <c r="H170" s="22">
        <f>IF(G170="","",G170+3)</f>
        <v/>
      </c>
      <c r="I170" s="22">
        <f>IF(G170="","",G170+7)</f>
        <v/>
      </c>
      <c r="J170" s="22">
        <f>IF(G170="","",G170+14)</f>
        <v/>
      </c>
      <c r="K170" s="19" t="n"/>
      <c r="L170" s="19" t="n"/>
    </row>
    <row r="171">
      <c r="A171" s="19" t="n"/>
      <c r="B171" s="19" t="n"/>
      <c r="C171" s="19" t="n"/>
      <c r="D171" s="19" t="n"/>
      <c r="E171" s="19" t="n"/>
      <c r="F171" s="19" t="n"/>
      <c r="G171" s="21" t="n"/>
      <c r="H171" s="22">
        <f>IF(G171="","",G171+3)</f>
        <v/>
      </c>
      <c r="I171" s="22">
        <f>IF(G171="","",G171+7)</f>
        <v/>
      </c>
      <c r="J171" s="22">
        <f>IF(G171="","",G171+14)</f>
        <v/>
      </c>
      <c r="K171" s="19" t="n"/>
      <c r="L171" s="19" t="n"/>
    </row>
    <row r="172">
      <c r="A172" s="19" t="n"/>
      <c r="B172" s="19" t="n"/>
      <c r="C172" s="19" t="n"/>
      <c r="D172" s="19" t="n"/>
      <c r="E172" s="19" t="n"/>
      <c r="F172" s="19" t="n"/>
      <c r="G172" s="21" t="n"/>
      <c r="H172" s="22">
        <f>IF(G172="","",G172+3)</f>
        <v/>
      </c>
      <c r="I172" s="22">
        <f>IF(G172="","",G172+7)</f>
        <v/>
      </c>
      <c r="J172" s="22">
        <f>IF(G172="","",G172+14)</f>
        <v/>
      </c>
      <c r="K172" s="19" t="n"/>
      <c r="L172" s="19" t="n"/>
    </row>
    <row r="173">
      <c r="A173" s="19" t="n"/>
      <c r="B173" s="19" t="n"/>
      <c r="C173" s="19" t="n"/>
      <c r="D173" s="19" t="n"/>
      <c r="E173" s="19" t="n"/>
      <c r="F173" s="19" t="n"/>
      <c r="G173" s="21" t="n"/>
      <c r="H173" s="22">
        <f>IF(G173="","",G173+3)</f>
        <v/>
      </c>
      <c r="I173" s="22">
        <f>IF(G173="","",G173+7)</f>
        <v/>
      </c>
      <c r="J173" s="22">
        <f>IF(G173="","",G173+14)</f>
        <v/>
      </c>
      <c r="K173" s="19" t="n"/>
      <c r="L173" s="19" t="n"/>
    </row>
    <row r="174">
      <c r="A174" s="19" t="n"/>
      <c r="B174" s="19" t="n"/>
      <c r="C174" s="19" t="n"/>
      <c r="D174" s="19" t="n"/>
      <c r="E174" s="19" t="n"/>
      <c r="F174" s="19" t="n"/>
      <c r="G174" s="21" t="n"/>
      <c r="H174" s="22">
        <f>IF(G174="","",G174+3)</f>
        <v/>
      </c>
      <c r="I174" s="22">
        <f>IF(G174="","",G174+7)</f>
        <v/>
      </c>
      <c r="J174" s="22">
        <f>IF(G174="","",G174+14)</f>
        <v/>
      </c>
      <c r="K174" s="19" t="n"/>
      <c r="L174" s="19" t="n"/>
    </row>
    <row r="175">
      <c r="A175" s="19" t="n"/>
      <c r="B175" s="19" t="n"/>
      <c r="C175" s="19" t="n"/>
      <c r="D175" s="19" t="n"/>
      <c r="E175" s="19" t="n"/>
      <c r="F175" s="19" t="n"/>
      <c r="G175" s="21" t="n"/>
      <c r="H175" s="22">
        <f>IF(G175="","",G175+3)</f>
        <v/>
      </c>
      <c r="I175" s="22">
        <f>IF(G175="","",G175+7)</f>
        <v/>
      </c>
      <c r="J175" s="22">
        <f>IF(G175="","",G175+14)</f>
        <v/>
      </c>
      <c r="K175" s="19" t="n"/>
      <c r="L175" s="19" t="n"/>
    </row>
    <row r="176">
      <c r="A176" s="19" t="n"/>
      <c r="B176" s="19" t="n"/>
      <c r="C176" s="19" t="n"/>
      <c r="D176" s="19" t="n"/>
      <c r="E176" s="19" t="n"/>
      <c r="F176" s="19" t="n"/>
      <c r="G176" s="21" t="n"/>
      <c r="H176" s="22">
        <f>IF(G176="","",G176+3)</f>
        <v/>
      </c>
      <c r="I176" s="22">
        <f>IF(G176="","",G176+7)</f>
        <v/>
      </c>
      <c r="J176" s="22">
        <f>IF(G176="","",G176+14)</f>
        <v/>
      </c>
      <c r="K176" s="19" t="n"/>
      <c r="L176" s="19" t="n"/>
    </row>
    <row r="177">
      <c r="A177" s="19" t="n"/>
      <c r="B177" s="19" t="n"/>
      <c r="C177" s="19" t="n"/>
      <c r="D177" s="19" t="n"/>
      <c r="E177" s="19" t="n"/>
      <c r="F177" s="19" t="n"/>
      <c r="G177" s="21" t="n"/>
      <c r="H177" s="22">
        <f>IF(G177="","",G177+3)</f>
        <v/>
      </c>
      <c r="I177" s="22">
        <f>IF(G177="","",G177+7)</f>
        <v/>
      </c>
      <c r="J177" s="22">
        <f>IF(G177="","",G177+14)</f>
        <v/>
      </c>
      <c r="K177" s="19" t="n"/>
      <c r="L177" s="19" t="n"/>
    </row>
    <row r="178">
      <c r="A178" s="19" t="n"/>
      <c r="B178" s="19" t="n"/>
      <c r="C178" s="19" t="n"/>
      <c r="D178" s="19" t="n"/>
      <c r="E178" s="19" t="n"/>
      <c r="F178" s="19" t="n"/>
      <c r="G178" s="21" t="n"/>
      <c r="H178" s="22">
        <f>IF(G178="","",G178+3)</f>
        <v/>
      </c>
      <c r="I178" s="22">
        <f>IF(G178="","",G178+7)</f>
        <v/>
      </c>
      <c r="J178" s="22">
        <f>IF(G178="","",G178+14)</f>
        <v/>
      </c>
      <c r="K178" s="19" t="n"/>
      <c r="L178" s="19" t="n"/>
    </row>
    <row r="179">
      <c r="A179" s="19" t="n"/>
      <c r="B179" s="19" t="n"/>
      <c r="C179" s="19" t="n"/>
      <c r="D179" s="19" t="n"/>
      <c r="E179" s="19" t="n"/>
      <c r="F179" s="19" t="n"/>
      <c r="G179" s="21" t="n"/>
      <c r="H179" s="22">
        <f>IF(G179="","",G179+3)</f>
        <v/>
      </c>
      <c r="I179" s="22">
        <f>IF(G179="","",G179+7)</f>
        <v/>
      </c>
      <c r="J179" s="22">
        <f>IF(G179="","",G179+14)</f>
        <v/>
      </c>
      <c r="K179" s="19" t="n"/>
      <c r="L179" s="19" t="n"/>
    </row>
    <row r="180">
      <c r="A180" s="19" t="n"/>
      <c r="B180" s="19" t="n"/>
      <c r="C180" s="19" t="n"/>
      <c r="D180" s="19" t="n"/>
      <c r="E180" s="19" t="n"/>
      <c r="F180" s="19" t="n"/>
      <c r="G180" s="21" t="n"/>
      <c r="H180" s="22">
        <f>IF(G180="","",G180+3)</f>
        <v/>
      </c>
      <c r="I180" s="22">
        <f>IF(G180="","",G180+7)</f>
        <v/>
      </c>
      <c r="J180" s="22">
        <f>IF(G180="","",G180+14)</f>
        <v/>
      </c>
      <c r="K180" s="19" t="n"/>
      <c r="L180" s="19" t="n"/>
    </row>
    <row r="181">
      <c r="A181" s="19" t="n"/>
      <c r="B181" s="19" t="n"/>
      <c r="C181" s="19" t="n"/>
      <c r="D181" s="19" t="n"/>
      <c r="E181" s="19" t="n"/>
      <c r="F181" s="19" t="n"/>
      <c r="G181" s="21" t="n"/>
      <c r="H181" s="22">
        <f>IF(G181="","",G181+3)</f>
        <v/>
      </c>
      <c r="I181" s="22">
        <f>IF(G181="","",G181+7)</f>
        <v/>
      </c>
      <c r="J181" s="22">
        <f>IF(G181="","",G181+14)</f>
        <v/>
      </c>
      <c r="K181" s="19" t="n"/>
      <c r="L181" s="19" t="n"/>
    </row>
    <row r="182">
      <c r="A182" s="19" t="n"/>
      <c r="B182" s="19" t="n"/>
      <c r="C182" s="19" t="n"/>
      <c r="D182" s="19" t="n"/>
      <c r="E182" s="19" t="n"/>
      <c r="F182" s="19" t="n"/>
      <c r="G182" s="21" t="n"/>
      <c r="H182" s="22">
        <f>IF(G182="","",G182+3)</f>
        <v/>
      </c>
      <c r="I182" s="22">
        <f>IF(G182="","",G182+7)</f>
        <v/>
      </c>
      <c r="J182" s="22">
        <f>IF(G182="","",G182+14)</f>
        <v/>
      </c>
      <c r="K182" s="19" t="n"/>
      <c r="L182" s="19" t="n"/>
    </row>
    <row r="183">
      <c r="A183" s="19" t="n"/>
      <c r="B183" s="19" t="n"/>
      <c r="C183" s="19" t="n"/>
      <c r="D183" s="19" t="n"/>
      <c r="E183" s="19" t="n"/>
      <c r="F183" s="19" t="n"/>
      <c r="G183" s="21" t="n"/>
      <c r="H183" s="22">
        <f>IF(G183="","",G183+3)</f>
        <v/>
      </c>
      <c r="I183" s="22">
        <f>IF(G183="","",G183+7)</f>
        <v/>
      </c>
      <c r="J183" s="22">
        <f>IF(G183="","",G183+14)</f>
        <v/>
      </c>
      <c r="K183" s="19" t="n"/>
      <c r="L183" s="19" t="n"/>
    </row>
    <row r="184">
      <c r="A184" s="19" t="n"/>
      <c r="B184" s="19" t="n"/>
      <c r="C184" s="19" t="n"/>
      <c r="D184" s="19" t="n"/>
      <c r="E184" s="19" t="n"/>
      <c r="F184" s="19" t="n"/>
      <c r="G184" s="21" t="n"/>
      <c r="H184" s="22">
        <f>IF(G184="","",G184+3)</f>
        <v/>
      </c>
      <c r="I184" s="22">
        <f>IF(G184="","",G184+7)</f>
        <v/>
      </c>
      <c r="J184" s="22">
        <f>IF(G184="","",G184+14)</f>
        <v/>
      </c>
      <c r="K184" s="19" t="n"/>
      <c r="L184" s="19" t="n"/>
    </row>
    <row r="185">
      <c r="A185" s="19" t="n"/>
      <c r="B185" s="19" t="n"/>
      <c r="C185" s="19" t="n"/>
      <c r="D185" s="19" t="n"/>
      <c r="E185" s="19" t="n"/>
      <c r="F185" s="19" t="n"/>
      <c r="G185" s="21" t="n"/>
      <c r="H185" s="22">
        <f>IF(G185="","",G185+3)</f>
        <v/>
      </c>
      <c r="I185" s="22">
        <f>IF(G185="","",G185+7)</f>
        <v/>
      </c>
      <c r="J185" s="22">
        <f>IF(G185="","",G185+14)</f>
        <v/>
      </c>
      <c r="K185" s="19" t="n"/>
      <c r="L185" s="19" t="n"/>
    </row>
    <row r="186">
      <c r="A186" s="19" t="n"/>
      <c r="B186" s="19" t="n"/>
      <c r="C186" s="19" t="n"/>
      <c r="D186" s="19" t="n"/>
      <c r="E186" s="19" t="n"/>
      <c r="F186" s="19" t="n"/>
      <c r="G186" s="21" t="n"/>
      <c r="H186" s="22">
        <f>IF(G186="","",G186+3)</f>
        <v/>
      </c>
      <c r="I186" s="22">
        <f>IF(G186="","",G186+7)</f>
        <v/>
      </c>
      <c r="J186" s="22">
        <f>IF(G186="","",G186+14)</f>
        <v/>
      </c>
      <c r="K186" s="19" t="n"/>
      <c r="L186" s="19" t="n"/>
    </row>
    <row r="187">
      <c r="A187" s="19" t="n"/>
      <c r="B187" s="19" t="n"/>
      <c r="C187" s="19" t="n"/>
      <c r="D187" s="19" t="n"/>
      <c r="E187" s="19" t="n"/>
      <c r="F187" s="19" t="n"/>
      <c r="G187" s="21" t="n"/>
      <c r="H187" s="22">
        <f>IF(G187="","",G187+3)</f>
        <v/>
      </c>
      <c r="I187" s="22">
        <f>IF(G187="","",G187+7)</f>
        <v/>
      </c>
      <c r="J187" s="22">
        <f>IF(G187="","",G187+14)</f>
        <v/>
      </c>
      <c r="K187" s="19" t="n"/>
      <c r="L187" s="19" t="n"/>
    </row>
    <row r="188">
      <c r="A188" s="19" t="n"/>
      <c r="B188" s="19" t="n"/>
      <c r="C188" s="19" t="n"/>
      <c r="D188" s="19" t="n"/>
      <c r="E188" s="19" t="n"/>
      <c r="F188" s="19" t="n"/>
      <c r="G188" s="21" t="n"/>
      <c r="H188" s="22">
        <f>IF(G188="","",G188+3)</f>
        <v/>
      </c>
      <c r="I188" s="22">
        <f>IF(G188="","",G188+7)</f>
        <v/>
      </c>
      <c r="J188" s="22">
        <f>IF(G188="","",G188+14)</f>
        <v/>
      </c>
      <c r="K188" s="19" t="n"/>
      <c r="L188" s="19" t="n"/>
    </row>
    <row r="189">
      <c r="A189" s="19" t="n"/>
      <c r="B189" s="19" t="n"/>
      <c r="C189" s="19" t="n"/>
      <c r="D189" s="19" t="n"/>
      <c r="E189" s="19" t="n"/>
      <c r="F189" s="19" t="n"/>
      <c r="G189" s="21" t="n"/>
      <c r="H189" s="22">
        <f>IF(G189="","",G189+3)</f>
        <v/>
      </c>
      <c r="I189" s="22">
        <f>IF(G189="","",G189+7)</f>
        <v/>
      </c>
      <c r="J189" s="22">
        <f>IF(G189="","",G189+14)</f>
        <v/>
      </c>
      <c r="K189" s="19" t="n"/>
      <c r="L189" s="19" t="n"/>
    </row>
    <row r="190">
      <c r="A190" s="19" t="n"/>
      <c r="B190" s="19" t="n"/>
      <c r="C190" s="19" t="n"/>
      <c r="D190" s="19" t="n"/>
      <c r="E190" s="19" t="n"/>
      <c r="F190" s="19" t="n"/>
      <c r="G190" s="21" t="n"/>
      <c r="H190" s="22">
        <f>IF(G190="","",G190+3)</f>
        <v/>
      </c>
      <c r="I190" s="22">
        <f>IF(G190="","",G190+7)</f>
        <v/>
      </c>
      <c r="J190" s="22">
        <f>IF(G190="","",G190+14)</f>
        <v/>
      </c>
      <c r="K190" s="19" t="n"/>
      <c r="L190" s="19" t="n"/>
    </row>
    <row r="191">
      <c r="A191" s="19" t="n"/>
      <c r="B191" s="19" t="n"/>
      <c r="C191" s="19" t="n"/>
      <c r="D191" s="19" t="n"/>
      <c r="E191" s="19" t="n"/>
      <c r="F191" s="19" t="n"/>
      <c r="G191" s="21" t="n"/>
      <c r="H191" s="22">
        <f>IF(G191="","",G191+3)</f>
        <v/>
      </c>
      <c r="I191" s="22">
        <f>IF(G191="","",G191+7)</f>
        <v/>
      </c>
      <c r="J191" s="22">
        <f>IF(G191="","",G191+14)</f>
        <v/>
      </c>
      <c r="K191" s="19" t="n"/>
      <c r="L191" s="19" t="n"/>
    </row>
    <row r="192">
      <c r="A192" s="19" t="n"/>
      <c r="B192" s="19" t="n"/>
      <c r="C192" s="19" t="n"/>
      <c r="D192" s="19" t="n"/>
      <c r="E192" s="19" t="n"/>
      <c r="F192" s="19" t="n"/>
      <c r="G192" s="21" t="n"/>
      <c r="H192" s="22">
        <f>IF(G192="","",G192+3)</f>
        <v/>
      </c>
      <c r="I192" s="22">
        <f>IF(G192="","",G192+7)</f>
        <v/>
      </c>
      <c r="J192" s="22">
        <f>IF(G192="","",G192+14)</f>
        <v/>
      </c>
      <c r="K192" s="19" t="n"/>
      <c r="L192" s="19" t="n"/>
    </row>
    <row r="193">
      <c r="A193" s="19" t="n"/>
      <c r="B193" s="19" t="n"/>
      <c r="C193" s="19" t="n"/>
      <c r="D193" s="19" t="n"/>
      <c r="E193" s="19" t="n"/>
      <c r="F193" s="19" t="n"/>
      <c r="G193" s="21" t="n"/>
      <c r="H193" s="22">
        <f>IF(G193="","",G193+3)</f>
        <v/>
      </c>
      <c r="I193" s="22">
        <f>IF(G193="","",G193+7)</f>
        <v/>
      </c>
      <c r="J193" s="22">
        <f>IF(G193="","",G193+14)</f>
        <v/>
      </c>
      <c r="K193" s="19" t="n"/>
      <c r="L193" s="19" t="n"/>
    </row>
    <row r="194">
      <c r="A194" s="19" t="n"/>
      <c r="B194" s="19" t="n"/>
      <c r="C194" s="19" t="n"/>
      <c r="D194" s="19" t="n"/>
      <c r="E194" s="19" t="n"/>
      <c r="F194" s="19" t="n"/>
      <c r="G194" s="21" t="n"/>
      <c r="H194" s="22">
        <f>IF(G194="","",G194+3)</f>
        <v/>
      </c>
      <c r="I194" s="22">
        <f>IF(G194="","",G194+7)</f>
        <v/>
      </c>
      <c r="J194" s="22">
        <f>IF(G194="","",G194+14)</f>
        <v/>
      </c>
      <c r="K194" s="19" t="n"/>
      <c r="L194" s="19" t="n"/>
    </row>
    <row r="195">
      <c r="A195" s="19" t="n"/>
      <c r="B195" s="19" t="n"/>
      <c r="C195" s="19" t="n"/>
      <c r="D195" s="19" t="n"/>
      <c r="E195" s="19" t="n"/>
      <c r="F195" s="19" t="n"/>
      <c r="G195" s="21" t="n"/>
      <c r="H195" s="22">
        <f>IF(G195="","",G195+3)</f>
        <v/>
      </c>
      <c r="I195" s="22">
        <f>IF(G195="","",G195+7)</f>
        <v/>
      </c>
      <c r="J195" s="22">
        <f>IF(G195="","",G195+14)</f>
        <v/>
      </c>
      <c r="K195" s="19" t="n"/>
      <c r="L195" s="19" t="n"/>
    </row>
    <row r="196">
      <c r="A196" s="19" t="n"/>
      <c r="B196" s="19" t="n"/>
      <c r="C196" s="19" t="n"/>
      <c r="D196" s="19" t="n"/>
      <c r="E196" s="19" t="n"/>
      <c r="F196" s="19" t="n"/>
      <c r="G196" s="21" t="n"/>
      <c r="H196" s="22">
        <f>IF(G196="","",G196+3)</f>
        <v/>
      </c>
      <c r="I196" s="22">
        <f>IF(G196="","",G196+7)</f>
        <v/>
      </c>
      <c r="J196" s="22">
        <f>IF(G196="","",G196+14)</f>
        <v/>
      </c>
      <c r="K196" s="19" t="n"/>
      <c r="L196" s="19" t="n"/>
    </row>
    <row r="197">
      <c r="A197" s="19" t="n"/>
      <c r="B197" s="19" t="n"/>
      <c r="C197" s="19" t="n"/>
      <c r="D197" s="19" t="n"/>
      <c r="E197" s="19" t="n"/>
      <c r="F197" s="19" t="n"/>
      <c r="G197" s="21" t="n"/>
      <c r="H197" s="22">
        <f>IF(G197="","",G197+3)</f>
        <v/>
      </c>
      <c r="I197" s="22">
        <f>IF(G197="","",G197+7)</f>
        <v/>
      </c>
      <c r="J197" s="22">
        <f>IF(G197="","",G197+14)</f>
        <v/>
      </c>
      <c r="K197" s="19" t="n"/>
      <c r="L197" s="19" t="n"/>
    </row>
    <row r="198">
      <c r="A198" s="19" t="n"/>
      <c r="B198" s="19" t="n"/>
      <c r="C198" s="19" t="n"/>
      <c r="D198" s="19" t="n"/>
      <c r="E198" s="19" t="n"/>
      <c r="F198" s="19" t="n"/>
      <c r="G198" s="21" t="n"/>
      <c r="H198" s="22">
        <f>IF(G198="","",G198+3)</f>
        <v/>
      </c>
      <c r="I198" s="22">
        <f>IF(G198="","",G198+7)</f>
        <v/>
      </c>
      <c r="J198" s="22">
        <f>IF(G198="","",G198+14)</f>
        <v/>
      </c>
      <c r="K198" s="19" t="n"/>
      <c r="L198" s="19" t="n"/>
    </row>
    <row r="199">
      <c r="A199" s="19" t="n"/>
      <c r="B199" s="19" t="n"/>
      <c r="C199" s="19" t="n"/>
      <c r="D199" s="19" t="n"/>
      <c r="E199" s="19" t="n"/>
      <c r="F199" s="19" t="n"/>
      <c r="G199" s="21" t="n"/>
      <c r="H199" s="22">
        <f>IF(G199="","",G199+3)</f>
        <v/>
      </c>
      <c r="I199" s="22">
        <f>IF(G199="","",G199+7)</f>
        <v/>
      </c>
      <c r="J199" s="22">
        <f>IF(G199="","",G199+14)</f>
        <v/>
      </c>
      <c r="K199" s="19" t="n"/>
      <c r="L199" s="19" t="n"/>
    </row>
    <row r="200">
      <c r="A200" s="19" t="n"/>
      <c r="B200" s="19" t="n"/>
      <c r="C200" s="19" t="n"/>
      <c r="D200" s="19" t="n"/>
      <c r="E200" s="19" t="n"/>
      <c r="F200" s="19" t="n"/>
      <c r="G200" s="21" t="n"/>
      <c r="H200" s="22">
        <f>IF(G200="","",G200+3)</f>
        <v/>
      </c>
      <c r="I200" s="22">
        <f>IF(G200="","",G200+7)</f>
        <v/>
      </c>
      <c r="J200" s="22">
        <f>IF(G200="","",G200+14)</f>
        <v/>
      </c>
      <c r="K200" s="19" t="n"/>
      <c r="L200" s="19" t="n"/>
    </row>
    <row r="201">
      <c r="A201" s="19" t="n"/>
      <c r="B201" s="19" t="n"/>
      <c r="C201" s="19" t="n"/>
      <c r="D201" s="19" t="n"/>
      <c r="E201" s="19" t="n"/>
      <c r="F201" s="19" t="n"/>
      <c r="G201" s="21" t="n"/>
      <c r="H201" s="22">
        <f>IF(G201="","",G201+3)</f>
        <v/>
      </c>
      <c r="I201" s="22">
        <f>IF(G201="","",G201+7)</f>
        <v/>
      </c>
      <c r="J201" s="22">
        <f>IF(G201="","",G201+14)</f>
        <v/>
      </c>
      <c r="K201" s="19" t="n"/>
      <c r="L201" s="19" t="n"/>
    </row>
    <row r="202">
      <c r="A202" s="19" t="n"/>
      <c r="B202" s="19" t="n"/>
      <c r="C202" s="19" t="n"/>
      <c r="D202" s="19" t="n"/>
      <c r="E202" s="19" t="n"/>
      <c r="F202" s="19" t="n"/>
      <c r="G202" s="21" t="n"/>
      <c r="H202" s="22">
        <f>IF(G202="","",G202+3)</f>
        <v/>
      </c>
      <c r="I202" s="22">
        <f>IF(G202="","",G202+7)</f>
        <v/>
      </c>
      <c r="J202" s="22">
        <f>IF(G202="","",G202+14)</f>
        <v/>
      </c>
      <c r="K202" s="19" t="n"/>
      <c r="L202" s="19" t="n"/>
    </row>
    <row r="203">
      <c r="A203" s="19" t="n"/>
      <c r="B203" s="19" t="n"/>
      <c r="C203" s="19" t="n"/>
      <c r="D203" s="19" t="n"/>
      <c r="E203" s="19" t="n"/>
      <c r="F203" s="19" t="n"/>
      <c r="G203" s="21" t="n"/>
      <c r="H203" s="22">
        <f>IF(G203="","",G203+3)</f>
        <v/>
      </c>
      <c r="I203" s="22">
        <f>IF(G203="","",G203+7)</f>
        <v/>
      </c>
      <c r="J203" s="22">
        <f>IF(G203="","",G203+14)</f>
        <v/>
      </c>
      <c r="K203" s="19" t="n"/>
      <c r="L203" s="19" t="n"/>
    </row>
    <row r="204">
      <c r="A204" s="19" t="n"/>
      <c r="B204" s="19" t="n"/>
      <c r="C204" s="19" t="n"/>
      <c r="D204" s="19" t="n"/>
      <c r="E204" s="19" t="n"/>
      <c r="F204" s="19" t="n"/>
      <c r="G204" s="21" t="n"/>
      <c r="H204" s="22">
        <f>IF(G204="","",G204+3)</f>
        <v/>
      </c>
      <c r="I204" s="22">
        <f>IF(G204="","",G204+7)</f>
        <v/>
      </c>
      <c r="J204" s="22">
        <f>IF(G204="","",G204+14)</f>
        <v/>
      </c>
      <c r="K204" s="19" t="n"/>
      <c r="L204" s="19" t="n"/>
    </row>
    <row r="205">
      <c r="A205" s="19" t="n"/>
      <c r="B205" s="19" t="n"/>
      <c r="C205" s="19" t="n"/>
      <c r="D205" s="19" t="n"/>
      <c r="E205" s="19" t="n"/>
      <c r="F205" s="19" t="n"/>
      <c r="G205" s="21" t="n"/>
      <c r="H205" s="22">
        <f>IF(G205="","",G205+3)</f>
        <v/>
      </c>
      <c r="I205" s="22">
        <f>IF(G205="","",G205+7)</f>
        <v/>
      </c>
      <c r="J205" s="22">
        <f>IF(G205="","",G205+14)</f>
        <v/>
      </c>
      <c r="K205" s="19" t="n"/>
      <c r="L205" s="19" t="n"/>
    </row>
    <row r="206">
      <c r="A206" s="19" t="n"/>
      <c r="B206" s="19" t="n"/>
      <c r="C206" s="19" t="n"/>
      <c r="D206" s="19" t="n"/>
      <c r="E206" s="19" t="n"/>
      <c r="F206" s="19" t="n"/>
      <c r="G206" s="21" t="n"/>
      <c r="H206" s="22">
        <f>IF(G206="","",G206+3)</f>
        <v/>
      </c>
      <c r="I206" s="22">
        <f>IF(G206="","",G206+7)</f>
        <v/>
      </c>
      <c r="J206" s="22">
        <f>IF(G206="","",G206+14)</f>
        <v/>
      </c>
      <c r="K206" s="19" t="n"/>
      <c r="L206" s="19" t="n"/>
    </row>
    <row r="207">
      <c r="A207" s="19" t="n"/>
      <c r="B207" s="19" t="n"/>
      <c r="C207" s="19" t="n"/>
      <c r="D207" s="19" t="n"/>
      <c r="E207" s="19" t="n"/>
      <c r="F207" s="19" t="n"/>
      <c r="G207" s="21" t="n"/>
      <c r="H207" s="22">
        <f>IF(G207="","",G207+3)</f>
        <v/>
      </c>
      <c r="I207" s="22">
        <f>IF(G207="","",G207+7)</f>
        <v/>
      </c>
      <c r="J207" s="22">
        <f>IF(G207="","",G207+14)</f>
        <v/>
      </c>
      <c r="K207" s="19" t="n"/>
      <c r="L207" s="19" t="n"/>
    </row>
    <row r="208">
      <c r="A208" s="19" t="n"/>
      <c r="B208" s="19" t="n"/>
      <c r="C208" s="19" t="n"/>
      <c r="D208" s="19" t="n"/>
      <c r="E208" s="19" t="n"/>
      <c r="F208" s="19" t="n"/>
      <c r="G208" s="21" t="n"/>
      <c r="H208" s="22">
        <f>IF(G208="","",G208+3)</f>
        <v/>
      </c>
      <c r="I208" s="22">
        <f>IF(G208="","",G208+7)</f>
        <v/>
      </c>
      <c r="J208" s="22">
        <f>IF(G208="","",G208+14)</f>
        <v/>
      </c>
      <c r="K208" s="19" t="n"/>
      <c r="L208" s="19" t="n"/>
    </row>
    <row r="209">
      <c r="A209" s="19" t="n"/>
      <c r="B209" s="19" t="n"/>
      <c r="C209" s="19" t="n"/>
      <c r="D209" s="19" t="n"/>
      <c r="E209" s="19" t="n"/>
      <c r="F209" s="19" t="n"/>
      <c r="G209" s="21" t="n"/>
      <c r="H209" s="22">
        <f>IF(G209="","",G209+3)</f>
        <v/>
      </c>
      <c r="I209" s="22">
        <f>IF(G209="","",G209+7)</f>
        <v/>
      </c>
      <c r="J209" s="22">
        <f>IF(G209="","",G209+14)</f>
        <v/>
      </c>
      <c r="K209" s="19" t="n"/>
      <c r="L209" s="19" t="n"/>
    </row>
    <row r="210">
      <c r="A210" s="19" t="n"/>
      <c r="B210" s="19" t="n"/>
      <c r="C210" s="19" t="n"/>
      <c r="D210" s="19" t="n"/>
      <c r="E210" s="19" t="n"/>
      <c r="F210" s="19" t="n"/>
      <c r="G210" s="21" t="n"/>
      <c r="H210" s="22">
        <f>IF(G210="","",G210+3)</f>
        <v/>
      </c>
      <c r="I210" s="22">
        <f>IF(G210="","",G210+7)</f>
        <v/>
      </c>
      <c r="J210" s="22">
        <f>IF(G210="","",G210+14)</f>
        <v/>
      </c>
      <c r="K210" s="19" t="n"/>
      <c r="L210" s="19" t="n"/>
    </row>
    <row r="211">
      <c r="A211" s="19" t="n"/>
      <c r="B211" s="19" t="n"/>
      <c r="C211" s="19" t="n"/>
      <c r="D211" s="19" t="n"/>
      <c r="E211" s="19" t="n"/>
      <c r="F211" s="19" t="n"/>
      <c r="G211" s="21" t="n"/>
      <c r="H211" s="22">
        <f>IF(G211="","",G211+3)</f>
        <v/>
      </c>
      <c r="I211" s="22">
        <f>IF(G211="","",G211+7)</f>
        <v/>
      </c>
      <c r="J211" s="22">
        <f>IF(G211="","",G211+14)</f>
        <v/>
      </c>
      <c r="K211" s="19" t="n"/>
      <c r="L211" s="19" t="n"/>
    </row>
    <row r="212">
      <c r="A212" s="19" t="n"/>
      <c r="B212" s="19" t="n"/>
      <c r="C212" s="19" t="n"/>
      <c r="D212" s="19" t="n"/>
      <c r="E212" s="19" t="n"/>
      <c r="F212" s="19" t="n"/>
      <c r="G212" s="21" t="n"/>
      <c r="H212" s="22">
        <f>IF(G212="","",G212+3)</f>
        <v/>
      </c>
      <c r="I212" s="22">
        <f>IF(G212="","",G212+7)</f>
        <v/>
      </c>
      <c r="J212" s="22">
        <f>IF(G212="","",G212+14)</f>
        <v/>
      </c>
      <c r="K212" s="19" t="n"/>
      <c r="L212" s="19" t="n"/>
    </row>
    <row r="213">
      <c r="A213" s="19" t="n"/>
      <c r="B213" s="19" t="n"/>
      <c r="C213" s="19" t="n"/>
      <c r="D213" s="19" t="n"/>
      <c r="E213" s="19" t="n"/>
      <c r="F213" s="19" t="n"/>
      <c r="G213" s="21" t="n"/>
      <c r="H213" s="22">
        <f>IF(G213="","",G213+3)</f>
        <v/>
      </c>
      <c r="I213" s="22">
        <f>IF(G213="","",G213+7)</f>
        <v/>
      </c>
      <c r="J213" s="22">
        <f>IF(G213="","",G213+14)</f>
        <v/>
      </c>
      <c r="K213" s="19" t="n"/>
      <c r="L213" s="19" t="n"/>
    </row>
    <row r="214">
      <c r="A214" s="19" t="n"/>
      <c r="B214" s="19" t="n"/>
      <c r="C214" s="19" t="n"/>
      <c r="D214" s="19" t="n"/>
      <c r="E214" s="19" t="n"/>
      <c r="F214" s="19" t="n"/>
      <c r="G214" s="21" t="n"/>
      <c r="H214" s="22">
        <f>IF(G214="","",G214+3)</f>
        <v/>
      </c>
      <c r="I214" s="22">
        <f>IF(G214="","",G214+7)</f>
        <v/>
      </c>
      <c r="J214" s="22">
        <f>IF(G214="","",G214+14)</f>
        <v/>
      </c>
      <c r="K214" s="19" t="n"/>
      <c r="L214" s="19" t="n"/>
    </row>
    <row r="215">
      <c r="A215" s="19" t="n"/>
      <c r="B215" s="19" t="n"/>
      <c r="C215" s="19" t="n"/>
      <c r="D215" s="19" t="n"/>
      <c r="E215" s="19" t="n"/>
      <c r="F215" s="19" t="n"/>
      <c r="G215" s="21" t="n"/>
      <c r="H215" s="22">
        <f>IF(G215="","",G215+3)</f>
        <v/>
      </c>
      <c r="I215" s="22">
        <f>IF(G215="","",G215+7)</f>
        <v/>
      </c>
      <c r="J215" s="22">
        <f>IF(G215="","",G215+14)</f>
        <v/>
      </c>
      <c r="K215" s="19" t="n"/>
      <c r="L215" s="19" t="n"/>
    </row>
    <row r="216">
      <c r="A216" s="19" t="n"/>
      <c r="B216" s="19" t="n"/>
      <c r="C216" s="19" t="n"/>
      <c r="D216" s="19" t="n"/>
      <c r="E216" s="19" t="n"/>
      <c r="F216" s="19" t="n"/>
      <c r="G216" s="21" t="n"/>
      <c r="H216" s="22">
        <f>IF(G216="","",G216+3)</f>
        <v/>
      </c>
      <c r="I216" s="22">
        <f>IF(G216="","",G216+7)</f>
        <v/>
      </c>
      <c r="J216" s="22">
        <f>IF(G216="","",G216+14)</f>
        <v/>
      </c>
      <c r="K216" s="19" t="n"/>
      <c r="L216" s="19" t="n"/>
    </row>
    <row r="217">
      <c r="A217" s="19" t="n"/>
      <c r="B217" s="19" t="n"/>
      <c r="C217" s="19" t="n"/>
      <c r="D217" s="19" t="n"/>
      <c r="E217" s="19" t="n"/>
      <c r="F217" s="19" t="n"/>
      <c r="G217" s="21" t="n"/>
      <c r="H217" s="22">
        <f>IF(G217="","",G217+3)</f>
        <v/>
      </c>
      <c r="I217" s="22">
        <f>IF(G217="","",G217+7)</f>
        <v/>
      </c>
      <c r="J217" s="22">
        <f>IF(G217="","",G217+14)</f>
        <v/>
      </c>
      <c r="K217" s="19" t="n"/>
      <c r="L217" s="19" t="n"/>
    </row>
    <row r="218">
      <c r="A218" s="19" t="n"/>
      <c r="B218" s="19" t="n"/>
      <c r="C218" s="19" t="n"/>
      <c r="D218" s="19" t="n"/>
      <c r="E218" s="19" t="n"/>
      <c r="F218" s="19" t="n"/>
      <c r="G218" s="21" t="n"/>
      <c r="H218" s="22">
        <f>IF(G218="","",G218+3)</f>
        <v/>
      </c>
      <c r="I218" s="22">
        <f>IF(G218="","",G218+7)</f>
        <v/>
      </c>
      <c r="J218" s="22">
        <f>IF(G218="","",G218+14)</f>
        <v/>
      </c>
      <c r="K218" s="19" t="n"/>
      <c r="L218" s="19" t="n"/>
    </row>
    <row r="219">
      <c r="A219" s="19" t="n"/>
      <c r="B219" s="19" t="n"/>
      <c r="C219" s="19" t="n"/>
      <c r="D219" s="19" t="n"/>
      <c r="E219" s="19" t="n"/>
      <c r="F219" s="19" t="n"/>
      <c r="G219" s="21" t="n"/>
      <c r="H219" s="22">
        <f>IF(G219="","",G219+3)</f>
        <v/>
      </c>
      <c r="I219" s="22">
        <f>IF(G219="","",G219+7)</f>
        <v/>
      </c>
      <c r="J219" s="22">
        <f>IF(G219="","",G219+14)</f>
        <v/>
      </c>
      <c r="K219" s="19" t="n"/>
      <c r="L219" s="19" t="n"/>
    </row>
    <row r="220">
      <c r="A220" s="19" t="n"/>
      <c r="B220" s="19" t="n"/>
      <c r="C220" s="19" t="n"/>
      <c r="D220" s="19" t="n"/>
      <c r="E220" s="19" t="n"/>
      <c r="F220" s="19" t="n"/>
      <c r="G220" s="21" t="n"/>
      <c r="H220" s="22">
        <f>IF(G220="","",G220+3)</f>
        <v/>
      </c>
      <c r="I220" s="22">
        <f>IF(G220="","",G220+7)</f>
        <v/>
      </c>
      <c r="J220" s="22">
        <f>IF(G220="","",G220+14)</f>
        <v/>
      </c>
      <c r="K220" s="19" t="n"/>
      <c r="L220" s="19" t="n"/>
    </row>
    <row r="221">
      <c r="A221" s="19" t="n"/>
      <c r="B221" s="19" t="n"/>
      <c r="C221" s="19" t="n"/>
      <c r="D221" s="19" t="n"/>
      <c r="E221" s="19" t="n"/>
      <c r="F221" s="19" t="n"/>
      <c r="G221" s="21" t="n"/>
      <c r="H221" s="22">
        <f>IF(G221="","",G221+3)</f>
        <v/>
      </c>
      <c r="I221" s="22">
        <f>IF(G221="","",G221+7)</f>
        <v/>
      </c>
      <c r="J221" s="22">
        <f>IF(G221="","",G221+14)</f>
        <v/>
      </c>
      <c r="K221" s="19" t="n"/>
      <c r="L221" s="19" t="n"/>
    </row>
    <row r="222">
      <c r="A222" s="19" t="n"/>
      <c r="B222" s="19" t="n"/>
      <c r="C222" s="19" t="n"/>
      <c r="D222" s="19" t="n"/>
      <c r="E222" s="19" t="n"/>
      <c r="F222" s="19" t="n"/>
      <c r="G222" s="21" t="n"/>
      <c r="H222" s="22">
        <f>IF(G222="","",G222+3)</f>
        <v/>
      </c>
      <c r="I222" s="22">
        <f>IF(G222="","",G222+7)</f>
        <v/>
      </c>
      <c r="J222" s="22">
        <f>IF(G222="","",G222+14)</f>
        <v/>
      </c>
      <c r="K222" s="19" t="n"/>
      <c r="L222" s="19" t="n"/>
    </row>
    <row r="223">
      <c r="A223" s="19" t="n"/>
      <c r="B223" s="19" t="n"/>
      <c r="C223" s="19" t="n"/>
      <c r="D223" s="19" t="n"/>
      <c r="E223" s="19" t="n"/>
      <c r="F223" s="19" t="n"/>
      <c r="G223" s="21" t="n"/>
      <c r="H223" s="22">
        <f>IF(G223="","",G223+3)</f>
        <v/>
      </c>
      <c r="I223" s="22">
        <f>IF(G223="","",G223+7)</f>
        <v/>
      </c>
      <c r="J223" s="22">
        <f>IF(G223="","",G223+14)</f>
        <v/>
      </c>
      <c r="K223" s="19" t="n"/>
      <c r="L223" s="19" t="n"/>
    </row>
    <row r="224">
      <c r="A224" s="19" t="n"/>
      <c r="B224" s="19" t="n"/>
      <c r="C224" s="19" t="n"/>
      <c r="D224" s="19" t="n"/>
      <c r="E224" s="19" t="n"/>
      <c r="F224" s="19" t="n"/>
      <c r="G224" s="21" t="n"/>
      <c r="H224" s="22">
        <f>IF(G224="","",G224+3)</f>
        <v/>
      </c>
      <c r="I224" s="22">
        <f>IF(G224="","",G224+7)</f>
        <v/>
      </c>
      <c r="J224" s="22">
        <f>IF(G224="","",G224+14)</f>
        <v/>
      </c>
      <c r="K224" s="19" t="n"/>
      <c r="L224" s="19" t="n"/>
    </row>
    <row r="225">
      <c r="A225" s="19" t="n"/>
      <c r="B225" s="19" t="n"/>
      <c r="C225" s="19" t="n"/>
      <c r="D225" s="19" t="n"/>
      <c r="E225" s="19" t="n"/>
      <c r="F225" s="19" t="n"/>
      <c r="G225" s="21" t="n"/>
      <c r="H225" s="22">
        <f>IF(G225="","",G225+3)</f>
        <v/>
      </c>
      <c r="I225" s="22">
        <f>IF(G225="","",G225+7)</f>
        <v/>
      </c>
      <c r="J225" s="22">
        <f>IF(G225="","",G225+14)</f>
        <v/>
      </c>
      <c r="K225" s="19" t="n"/>
      <c r="L225" s="19" t="n"/>
    </row>
    <row r="226">
      <c r="A226" s="19" t="n"/>
      <c r="B226" s="19" t="n"/>
      <c r="C226" s="19" t="n"/>
      <c r="D226" s="19" t="n"/>
      <c r="E226" s="19" t="n"/>
      <c r="F226" s="19" t="n"/>
      <c r="G226" s="21" t="n"/>
      <c r="H226" s="22">
        <f>IF(G226="","",G226+3)</f>
        <v/>
      </c>
      <c r="I226" s="22">
        <f>IF(G226="","",G226+7)</f>
        <v/>
      </c>
      <c r="J226" s="22">
        <f>IF(G226="","",G226+14)</f>
        <v/>
      </c>
      <c r="K226" s="19" t="n"/>
      <c r="L226" s="19" t="n"/>
    </row>
    <row r="227">
      <c r="A227" s="19" t="n"/>
      <c r="B227" s="19" t="n"/>
      <c r="C227" s="19" t="n"/>
      <c r="D227" s="19" t="n"/>
      <c r="E227" s="19" t="n"/>
      <c r="F227" s="19" t="n"/>
      <c r="G227" s="21" t="n"/>
      <c r="H227" s="22">
        <f>IF(G227="","",G227+3)</f>
        <v/>
      </c>
      <c r="I227" s="22">
        <f>IF(G227="","",G227+7)</f>
        <v/>
      </c>
      <c r="J227" s="22">
        <f>IF(G227="","",G227+14)</f>
        <v/>
      </c>
      <c r="K227" s="19" t="n"/>
      <c r="L227" s="19" t="n"/>
    </row>
    <row r="228">
      <c r="A228" s="19" t="n"/>
      <c r="B228" s="19" t="n"/>
      <c r="C228" s="19" t="n"/>
      <c r="D228" s="19" t="n"/>
      <c r="E228" s="19" t="n"/>
      <c r="F228" s="19" t="n"/>
      <c r="G228" s="21" t="n"/>
      <c r="H228" s="22">
        <f>IF(G228="","",G228+3)</f>
        <v/>
      </c>
      <c r="I228" s="22">
        <f>IF(G228="","",G228+7)</f>
        <v/>
      </c>
      <c r="J228" s="22">
        <f>IF(G228="","",G228+14)</f>
        <v/>
      </c>
      <c r="K228" s="19" t="n"/>
      <c r="L228" s="19" t="n"/>
    </row>
    <row r="229">
      <c r="A229" s="19" t="n"/>
      <c r="B229" s="19" t="n"/>
      <c r="C229" s="19" t="n"/>
      <c r="D229" s="19" t="n"/>
      <c r="E229" s="19" t="n"/>
      <c r="F229" s="19" t="n"/>
      <c r="G229" s="21" t="n"/>
      <c r="H229" s="22">
        <f>IF(G229="","",G229+3)</f>
        <v/>
      </c>
      <c r="I229" s="22">
        <f>IF(G229="","",G229+7)</f>
        <v/>
      </c>
      <c r="J229" s="22">
        <f>IF(G229="","",G229+14)</f>
        <v/>
      </c>
      <c r="K229" s="19" t="n"/>
      <c r="L229" s="19" t="n"/>
    </row>
    <row r="230">
      <c r="A230" s="19" t="n"/>
      <c r="B230" s="19" t="n"/>
      <c r="C230" s="19" t="n"/>
      <c r="D230" s="19" t="n"/>
      <c r="E230" s="19" t="n"/>
      <c r="F230" s="19" t="n"/>
      <c r="G230" s="21" t="n"/>
      <c r="H230" s="22">
        <f>IF(G230="","",G230+3)</f>
        <v/>
      </c>
      <c r="I230" s="22">
        <f>IF(G230="","",G230+7)</f>
        <v/>
      </c>
      <c r="J230" s="22">
        <f>IF(G230="","",G230+14)</f>
        <v/>
      </c>
      <c r="K230" s="19" t="n"/>
      <c r="L230" s="19" t="n"/>
    </row>
    <row r="231">
      <c r="A231" s="19" t="n"/>
      <c r="B231" s="19" t="n"/>
      <c r="C231" s="19" t="n"/>
      <c r="D231" s="19" t="n"/>
      <c r="E231" s="19" t="n"/>
      <c r="F231" s="19" t="n"/>
      <c r="G231" s="21" t="n"/>
      <c r="H231" s="22">
        <f>IF(G231="","",G231+3)</f>
        <v/>
      </c>
      <c r="I231" s="22">
        <f>IF(G231="","",G231+7)</f>
        <v/>
      </c>
      <c r="J231" s="22">
        <f>IF(G231="","",G231+14)</f>
        <v/>
      </c>
      <c r="K231" s="19" t="n"/>
      <c r="L231" s="19" t="n"/>
    </row>
    <row r="232">
      <c r="A232" s="19" t="n"/>
      <c r="B232" s="19" t="n"/>
      <c r="C232" s="19" t="n"/>
      <c r="D232" s="19" t="n"/>
      <c r="E232" s="19" t="n"/>
      <c r="F232" s="19" t="n"/>
      <c r="G232" s="21" t="n"/>
      <c r="H232" s="22">
        <f>IF(G232="","",G232+3)</f>
        <v/>
      </c>
      <c r="I232" s="22">
        <f>IF(G232="","",G232+7)</f>
        <v/>
      </c>
      <c r="J232" s="22">
        <f>IF(G232="","",G232+14)</f>
        <v/>
      </c>
      <c r="K232" s="19" t="n"/>
      <c r="L232" s="19" t="n"/>
    </row>
    <row r="233">
      <c r="A233" s="19" t="n"/>
      <c r="B233" s="19" t="n"/>
      <c r="C233" s="19" t="n"/>
      <c r="D233" s="19" t="n"/>
      <c r="E233" s="19" t="n"/>
      <c r="F233" s="19" t="n"/>
      <c r="G233" s="21" t="n"/>
      <c r="H233" s="22">
        <f>IF(G233="","",G233+3)</f>
        <v/>
      </c>
      <c r="I233" s="22">
        <f>IF(G233="","",G233+7)</f>
        <v/>
      </c>
      <c r="J233" s="22">
        <f>IF(G233="","",G233+14)</f>
        <v/>
      </c>
      <c r="K233" s="19" t="n"/>
      <c r="L233" s="19" t="n"/>
    </row>
    <row r="234">
      <c r="A234" s="19" t="n"/>
      <c r="B234" s="19" t="n"/>
      <c r="C234" s="19" t="n"/>
      <c r="D234" s="19" t="n"/>
      <c r="E234" s="19" t="n"/>
      <c r="F234" s="19" t="n"/>
      <c r="G234" s="21" t="n"/>
      <c r="H234" s="22">
        <f>IF(G234="","",G234+3)</f>
        <v/>
      </c>
      <c r="I234" s="22">
        <f>IF(G234="","",G234+7)</f>
        <v/>
      </c>
      <c r="J234" s="22">
        <f>IF(G234="","",G234+14)</f>
        <v/>
      </c>
      <c r="K234" s="19" t="n"/>
      <c r="L234" s="19" t="n"/>
    </row>
    <row r="235">
      <c r="A235" s="19" t="n"/>
      <c r="B235" s="19" t="n"/>
      <c r="C235" s="19" t="n"/>
      <c r="D235" s="19" t="n"/>
      <c r="E235" s="19" t="n"/>
      <c r="F235" s="19" t="n"/>
      <c r="G235" s="21" t="n"/>
      <c r="H235" s="22">
        <f>IF(G235="","",G235+3)</f>
        <v/>
      </c>
      <c r="I235" s="22">
        <f>IF(G235="","",G235+7)</f>
        <v/>
      </c>
      <c r="J235" s="22">
        <f>IF(G235="","",G235+14)</f>
        <v/>
      </c>
      <c r="K235" s="19" t="n"/>
      <c r="L235" s="19" t="n"/>
    </row>
    <row r="236">
      <c r="A236" s="19" t="n"/>
      <c r="B236" s="19" t="n"/>
      <c r="C236" s="19" t="n"/>
      <c r="D236" s="19" t="n"/>
      <c r="E236" s="19" t="n"/>
      <c r="F236" s="19" t="n"/>
      <c r="G236" s="21" t="n"/>
      <c r="H236" s="22">
        <f>IF(G236="","",G236+3)</f>
        <v/>
      </c>
      <c r="I236" s="22">
        <f>IF(G236="","",G236+7)</f>
        <v/>
      </c>
      <c r="J236" s="22">
        <f>IF(G236="","",G236+14)</f>
        <v/>
      </c>
      <c r="K236" s="19" t="n"/>
      <c r="L236" s="19" t="n"/>
    </row>
    <row r="237">
      <c r="A237" s="19" t="n"/>
      <c r="B237" s="19" t="n"/>
      <c r="C237" s="19" t="n"/>
      <c r="D237" s="19" t="n"/>
      <c r="E237" s="19" t="n"/>
      <c r="F237" s="19" t="n"/>
      <c r="G237" s="21" t="n"/>
      <c r="H237" s="22">
        <f>IF(G237="","",G237+3)</f>
        <v/>
      </c>
      <c r="I237" s="22">
        <f>IF(G237="","",G237+7)</f>
        <v/>
      </c>
      <c r="J237" s="22">
        <f>IF(G237="","",G237+14)</f>
        <v/>
      </c>
      <c r="K237" s="19" t="n"/>
      <c r="L237" s="19" t="n"/>
    </row>
    <row r="238">
      <c r="A238" s="19" t="n"/>
      <c r="B238" s="19" t="n"/>
      <c r="C238" s="19" t="n"/>
      <c r="D238" s="19" t="n"/>
      <c r="E238" s="19" t="n"/>
      <c r="F238" s="19" t="n"/>
      <c r="G238" s="21" t="n"/>
      <c r="H238" s="22">
        <f>IF(G238="","",G238+3)</f>
        <v/>
      </c>
      <c r="I238" s="22">
        <f>IF(G238="","",G238+7)</f>
        <v/>
      </c>
      <c r="J238" s="22">
        <f>IF(G238="","",G238+14)</f>
        <v/>
      </c>
      <c r="K238" s="19" t="n"/>
      <c r="L238" s="19" t="n"/>
    </row>
    <row r="239">
      <c r="A239" s="19" t="n"/>
      <c r="B239" s="19" t="n"/>
      <c r="C239" s="19" t="n"/>
      <c r="D239" s="19" t="n"/>
      <c r="E239" s="19" t="n"/>
      <c r="F239" s="19" t="n"/>
      <c r="G239" s="21" t="n"/>
      <c r="H239" s="22">
        <f>IF(G239="","",G239+3)</f>
        <v/>
      </c>
      <c r="I239" s="22">
        <f>IF(G239="","",G239+7)</f>
        <v/>
      </c>
      <c r="J239" s="22">
        <f>IF(G239="","",G239+14)</f>
        <v/>
      </c>
      <c r="K239" s="19" t="n"/>
      <c r="L239" s="19" t="n"/>
    </row>
    <row r="240">
      <c r="A240" s="19" t="n"/>
      <c r="B240" s="19" t="n"/>
      <c r="C240" s="19" t="n"/>
      <c r="D240" s="19" t="n"/>
      <c r="E240" s="19" t="n"/>
      <c r="F240" s="19" t="n"/>
      <c r="G240" s="21" t="n"/>
      <c r="H240" s="22">
        <f>IF(G240="","",G240+3)</f>
        <v/>
      </c>
      <c r="I240" s="22">
        <f>IF(G240="","",G240+7)</f>
        <v/>
      </c>
      <c r="J240" s="22">
        <f>IF(G240="","",G240+14)</f>
        <v/>
      </c>
      <c r="K240" s="19" t="n"/>
      <c r="L240" s="19" t="n"/>
    </row>
    <row r="241">
      <c r="A241" s="19" t="n"/>
      <c r="B241" s="19" t="n"/>
      <c r="C241" s="19" t="n"/>
      <c r="D241" s="19" t="n"/>
      <c r="E241" s="19" t="n"/>
      <c r="F241" s="19" t="n"/>
      <c r="G241" s="21" t="n"/>
      <c r="H241" s="22">
        <f>IF(G241="","",G241+3)</f>
        <v/>
      </c>
      <c r="I241" s="22">
        <f>IF(G241="","",G241+7)</f>
        <v/>
      </c>
      <c r="J241" s="22">
        <f>IF(G241="","",G241+14)</f>
        <v/>
      </c>
      <c r="K241" s="19" t="n"/>
      <c r="L241" s="19" t="n"/>
    </row>
    <row r="242">
      <c r="A242" s="19" t="n"/>
      <c r="B242" s="19" t="n"/>
      <c r="C242" s="19" t="n"/>
      <c r="D242" s="19" t="n"/>
      <c r="E242" s="19" t="n"/>
      <c r="F242" s="19" t="n"/>
      <c r="G242" s="21" t="n"/>
      <c r="H242" s="22">
        <f>IF(G242="","",G242+3)</f>
        <v/>
      </c>
      <c r="I242" s="22">
        <f>IF(G242="","",G242+7)</f>
        <v/>
      </c>
      <c r="J242" s="22">
        <f>IF(G242="","",G242+14)</f>
        <v/>
      </c>
      <c r="K242" s="19" t="n"/>
      <c r="L242" s="19" t="n"/>
    </row>
    <row r="243">
      <c r="A243" s="19" t="n"/>
      <c r="B243" s="19" t="n"/>
      <c r="C243" s="19" t="n"/>
      <c r="D243" s="19" t="n"/>
      <c r="E243" s="19" t="n"/>
      <c r="F243" s="19" t="n"/>
      <c r="G243" s="21" t="n"/>
      <c r="H243" s="22">
        <f>IF(G243="","",G243+3)</f>
        <v/>
      </c>
      <c r="I243" s="22">
        <f>IF(G243="","",G243+7)</f>
        <v/>
      </c>
      <c r="J243" s="22">
        <f>IF(G243="","",G243+14)</f>
        <v/>
      </c>
      <c r="K243" s="19" t="n"/>
      <c r="L243" s="19" t="n"/>
    </row>
    <row r="244">
      <c r="A244" s="19" t="n"/>
      <c r="B244" s="19" t="n"/>
      <c r="C244" s="19" t="n"/>
      <c r="D244" s="19" t="n"/>
      <c r="E244" s="19" t="n"/>
      <c r="F244" s="19" t="n"/>
      <c r="G244" s="21" t="n"/>
      <c r="H244" s="22">
        <f>IF(G244="","",G244+3)</f>
        <v/>
      </c>
      <c r="I244" s="22">
        <f>IF(G244="","",G244+7)</f>
        <v/>
      </c>
      <c r="J244" s="22">
        <f>IF(G244="","",G244+14)</f>
        <v/>
      </c>
      <c r="K244" s="19" t="n"/>
      <c r="L244" s="19" t="n"/>
    </row>
    <row r="245">
      <c r="A245" s="19" t="n"/>
      <c r="B245" s="19" t="n"/>
      <c r="C245" s="19" t="n"/>
      <c r="D245" s="19" t="n"/>
      <c r="E245" s="19" t="n"/>
      <c r="F245" s="19" t="n"/>
      <c r="G245" s="21" t="n"/>
      <c r="H245" s="22">
        <f>IF(G245="","",G245+3)</f>
        <v/>
      </c>
      <c r="I245" s="22">
        <f>IF(G245="","",G245+7)</f>
        <v/>
      </c>
      <c r="J245" s="22">
        <f>IF(G245="","",G245+14)</f>
        <v/>
      </c>
      <c r="K245" s="19" t="n"/>
      <c r="L245" s="19" t="n"/>
    </row>
    <row r="246">
      <c r="A246" s="19" t="n"/>
      <c r="B246" s="19" t="n"/>
      <c r="C246" s="19" t="n"/>
      <c r="D246" s="19" t="n"/>
      <c r="E246" s="19" t="n"/>
      <c r="F246" s="19" t="n"/>
      <c r="G246" s="21" t="n"/>
      <c r="H246" s="22">
        <f>IF(G246="","",G246+3)</f>
        <v/>
      </c>
      <c r="I246" s="22">
        <f>IF(G246="","",G246+7)</f>
        <v/>
      </c>
      <c r="J246" s="22">
        <f>IF(G246="","",G246+14)</f>
        <v/>
      </c>
      <c r="K246" s="19" t="n"/>
      <c r="L246" s="19" t="n"/>
    </row>
    <row r="247">
      <c r="A247" s="19" t="n"/>
      <c r="B247" s="19" t="n"/>
      <c r="C247" s="19" t="n"/>
      <c r="D247" s="19" t="n"/>
      <c r="E247" s="19" t="n"/>
      <c r="F247" s="19" t="n"/>
      <c r="G247" s="21" t="n"/>
      <c r="H247" s="22">
        <f>IF(G247="","",G247+3)</f>
        <v/>
      </c>
      <c r="I247" s="22">
        <f>IF(G247="","",G247+7)</f>
        <v/>
      </c>
      <c r="J247" s="22">
        <f>IF(G247="","",G247+14)</f>
        <v/>
      </c>
      <c r="K247" s="19" t="n"/>
      <c r="L247" s="19" t="n"/>
    </row>
    <row r="248">
      <c r="A248" s="19" t="n"/>
      <c r="B248" s="19" t="n"/>
      <c r="C248" s="19" t="n"/>
      <c r="D248" s="19" t="n"/>
      <c r="E248" s="19" t="n"/>
      <c r="F248" s="19" t="n"/>
      <c r="G248" s="21" t="n"/>
      <c r="H248" s="22">
        <f>IF(G248="","",G248+3)</f>
        <v/>
      </c>
      <c r="I248" s="22">
        <f>IF(G248="","",G248+7)</f>
        <v/>
      </c>
      <c r="J248" s="22">
        <f>IF(G248="","",G248+14)</f>
        <v/>
      </c>
      <c r="K248" s="19" t="n"/>
      <c r="L248" s="19" t="n"/>
    </row>
    <row r="249">
      <c r="A249" s="19" t="n"/>
      <c r="B249" s="19" t="n"/>
      <c r="C249" s="19" t="n"/>
      <c r="D249" s="19" t="n"/>
      <c r="E249" s="19" t="n"/>
      <c r="F249" s="19" t="n"/>
      <c r="G249" s="21" t="n"/>
      <c r="H249" s="22">
        <f>IF(G249="","",G249+3)</f>
        <v/>
      </c>
      <c r="I249" s="22">
        <f>IF(G249="","",G249+7)</f>
        <v/>
      </c>
      <c r="J249" s="22">
        <f>IF(G249="","",G249+14)</f>
        <v/>
      </c>
      <c r="K249" s="19" t="n"/>
      <c r="L249" s="19" t="n"/>
    </row>
    <row r="250">
      <c r="A250" s="19" t="n"/>
      <c r="B250" s="19" t="n"/>
      <c r="C250" s="19" t="n"/>
      <c r="D250" s="19" t="n"/>
      <c r="E250" s="19" t="n"/>
      <c r="F250" s="19" t="n"/>
      <c r="G250" s="21" t="n"/>
      <c r="H250" s="22">
        <f>IF(G250="","",G250+3)</f>
        <v/>
      </c>
      <c r="I250" s="22">
        <f>IF(G250="","",G250+7)</f>
        <v/>
      </c>
      <c r="J250" s="22">
        <f>IF(G250="","",G250+14)</f>
        <v/>
      </c>
      <c r="K250" s="19" t="n"/>
      <c r="L250" s="19" t="n"/>
    </row>
    <row r="251">
      <c r="A251" s="19" t="n"/>
      <c r="B251" s="19" t="n"/>
      <c r="C251" s="19" t="n"/>
      <c r="D251" s="19" t="n"/>
      <c r="E251" s="19" t="n"/>
      <c r="F251" s="19" t="n"/>
      <c r="G251" s="21" t="n"/>
      <c r="H251" s="22">
        <f>IF(G251="","",G251+3)</f>
        <v/>
      </c>
      <c r="I251" s="22">
        <f>IF(G251="","",G251+7)</f>
        <v/>
      </c>
      <c r="J251" s="22">
        <f>IF(G251="","",G251+14)</f>
        <v/>
      </c>
      <c r="K251" s="19" t="n"/>
      <c r="L251" s="19" t="n"/>
    </row>
    <row r="252">
      <c r="A252" s="19" t="n"/>
      <c r="B252" s="19" t="n"/>
      <c r="C252" s="19" t="n"/>
      <c r="D252" s="19" t="n"/>
      <c r="E252" s="19" t="n"/>
      <c r="F252" s="19" t="n"/>
      <c r="G252" s="21" t="n"/>
      <c r="H252" s="22">
        <f>IF(G252="","",G252+3)</f>
        <v/>
      </c>
      <c r="I252" s="22">
        <f>IF(G252="","",G252+7)</f>
        <v/>
      </c>
      <c r="J252" s="22">
        <f>IF(G252="","",G252+14)</f>
        <v/>
      </c>
      <c r="K252" s="19" t="n"/>
      <c r="L252" s="19" t="n"/>
    </row>
    <row r="253">
      <c r="A253" s="19" t="n"/>
      <c r="B253" s="19" t="n"/>
      <c r="C253" s="19" t="n"/>
      <c r="D253" s="19" t="n"/>
      <c r="E253" s="19" t="n"/>
      <c r="F253" s="19" t="n"/>
      <c r="G253" s="21" t="n"/>
      <c r="H253" s="22">
        <f>IF(G253="","",G253+3)</f>
        <v/>
      </c>
      <c r="I253" s="22">
        <f>IF(G253="","",G253+7)</f>
        <v/>
      </c>
      <c r="J253" s="22">
        <f>IF(G253="","",G253+14)</f>
        <v/>
      </c>
      <c r="K253" s="19" t="n"/>
      <c r="L253" s="19" t="n"/>
    </row>
    <row r="254">
      <c r="A254" s="19" t="n"/>
      <c r="B254" s="19" t="n"/>
      <c r="C254" s="19" t="n"/>
      <c r="D254" s="19" t="n"/>
      <c r="E254" s="19" t="n"/>
      <c r="F254" s="19" t="n"/>
      <c r="G254" s="21" t="n"/>
      <c r="H254" s="22">
        <f>IF(G254="","",G254+3)</f>
        <v/>
      </c>
      <c r="I254" s="22">
        <f>IF(G254="","",G254+7)</f>
        <v/>
      </c>
      <c r="J254" s="22">
        <f>IF(G254="","",G254+14)</f>
        <v/>
      </c>
      <c r="K254" s="19" t="n"/>
      <c r="L254" s="19" t="n"/>
    </row>
    <row r="255">
      <c r="A255" s="19" t="n"/>
      <c r="B255" s="19" t="n"/>
      <c r="C255" s="19" t="n"/>
      <c r="D255" s="19" t="n"/>
      <c r="E255" s="19" t="n"/>
      <c r="F255" s="19" t="n"/>
      <c r="G255" s="21" t="n"/>
      <c r="H255" s="22">
        <f>IF(G255="","",G255+3)</f>
        <v/>
      </c>
      <c r="I255" s="22">
        <f>IF(G255="","",G255+7)</f>
        <v/>
      </c>
      <c r="J255" s="22">
        <f>IF(G255="","",G255+14)</f>
        <v/>
      </c>
      <c r="K255" s="19" t="n"/>
      <c r="L255" s="19" t="n"/>
    </row>
    <row r="256">
      <c r="A256" s="19" t="n"/>
      <c r="B256" s="19" t="n"/>
      <c r="C256" s="19" t="n"/>
      <c r="D256" s="19" t="n"/>
      <c r="E256" s="19" t="n"/>
      <c r="F256" s="19" t="n"/>
      <c r="G256" s="21" t="n"/>
      <c r="H256" s="22">
        <f>IF(G256="","",G256+3)</f>
        <v/>
      </c>
      <c r="I256" s="22">
        <f>IF(G256="","",G256+7)</f>
        <v/>
      </c>
      <c r="J256" s="22">
        <f>IF(G256="","",G256+14)</f>
        <v/>
      </c>
      <c r="K256" s="19" t="n"/>
      <c r="L256" s="19" t="n"/>
    </row>
    <row r="257">
      <c r="A257" s="19" t="n"/>
      <c r="B257" s="19" t="n"/>
      <c r="C257" s="19" t="n"/>
      <c r="D257" s="19" t="n"/>
      <c r="E257" s="19" t="n"/>
      <c r="F257" s="19" t="n"/>
      <c r="G257" s="21" t="n"/>
      <c r="H257" s="22">
        <f>IF(G257="","",G257+3)</f>
        <v/>
      </c>
      <c r="I257" s="22">
        <f>IF(G257="","",G257+7)</f>
        <v/>
      </c>
      <c r="J257" s="22">
        <f>IF(G257="","",G257+14)</f>
        <v/>
      </c>
      <c r="K257" s="19" t="n"/>
      <c r="L257" s="19" t="n"/>
    </row>
    <row r="258">
      <c r="A258" s="19" t="n"/>
      <c r="B258" s="19" t="n"/>
      <c r="C258" s="19" t="n"/>
      <c r="D258" s="19" t="n"/>
      <c r="E258" s="19" t="n"/>
      <c r="F258" s="19" t="n"/>
      <c r="G258" s="21" t="n"/>
      <c r="H258" s="22">
        <f>IF(G258="","",G258+3)</f>
        <v/>
      </c>
      <c r="I258" s="22">
        <f>IF(G258="","",G258+7)</f>
        <v/>
      </c>
      <c r="J258" s="22">
        <f>IF(G258="","",G258+14)</f>
        <v/>
      </c>
      <c r="K258" s="19" t="n"/>
      <c r="L258" s="19" t="n"/>
    </row>
    <row r="259">
      <c r="A259" s="19" t="n"/>
      <c r="B259" s="19" t="n"/>
      <c r="C259" s="19" t="n"/>
      <c r="D259" s="19" t="n"/>
      <c r="E259" s="19" t="n"/>
      <c r="F259" s="19" t="n"/>
      <c r="G259" s="21" t="n"/>
      <c r="H259" s="22">
        <f>IF(G259="","",G259+3)</f>
        <v/>
      </c>
      <c r="I259" s="22">
        <f>IF(G259="","",G259+7)</f>
        <v/>
      </c>
      <c r="J259" s="22">
        <f>IF(G259="","",G259+14)</f>
        <v/>
      </c>
      <c r="K259" s="19" t="n"/>
      <c r="L259" s="19" t="n"/>
    </row>
    <row r="260">
      <c r="A260" s="19" t="n"/>
      <c r="B260" s="19" t="n"/>
      <c r="C260" s="19" t="n"/>
      <c r="D260" s="19" t="n"/>
      <c r="E260" s="19" t="n"/>
      <c r="F260" s="19" t="n"/>
      <c r="G260" s="21" t="n"/>
      <c r="H260" s="22">
        <f>IF(G260="","",G260+3)</f>
        <v/>
      </c>
      <c r="I260" s="22">
        <f>IF(G260="","",G260+7)</f>
        <v/>
      </c>
      <c r="J260" s="22">
        <f>IF(G260="","",G260+14)</f>
        <v/>
      </c>
      <c r="K260" s="19" t="n"/>
      <c r="L260" s="19" t="n"/>
    </row>
    <row r="261">
      <c r="A261" s="19" t="n"/>
      <c r="B261" s="19" t="n"/>
      <c r="C261" s="19" t="n"/>
      <c r="D261" s="19" t="n"/>
      <c r="E261" s="19" t="n"/>
      <c r="F261" s="19" t="n"/>
      <c r="G261" s="21" t="n"/>
      <c r="H261" s="22">
        <f>IF(G261="","",G261+3)</f>
        <v/>
      </c>
      <c r="I261" s="22">
        <f>IF(G261="","",G261+7)</f>
        <v/>
      </c>
      <c r="J261" s="22">
        <f>IF(G261="","",G261+14)</f>
        <v/>
      </c>
      <c r="K261" s="19" t="n"/>
      <c r="L261" s="19" t="n"/>
    </row>
    <row r="262">
      <c r="A262" s="19" t="n"/>
      <c r="B262" s="19" t="n"/>
      <c r="C262" s="19" t="n"/>
      <c r="D262" s="19" t="n"/>
      <c r="E262" s="19" t="n"/>
      <c r="F262" s="19" t="n"/>
      <c r="G262" s="21" t="n"/>
      <c r="H262" s="22">
        <f>IF(G262="","",G262+3)</f>
        <v/>
      </c>
      <c r="I262" s="22">
        <f>IF(G262="","",G262+7)</f>
        <v/>
      </c>
      <c r="J262" s="22">
        <f>IF(G262="","",G262+14)</f>
        <v/>
      </c>
      <c r="K262" s="19" t="n"/>
      <c r="L262" s="19" t="n"/>
    </row>
    <row r="263">
      <c r="A263" s="19" t="n"/>
      <c r="B263" s="19" t="n"/>
      <c r="C263" s="19" t="n"/>
      <c r="D263" s="19" t="n"/>
      <c r="E263" s="19" t="n"/>
      <c r="F263" s="19" t="n"/>
      <c r="G263" s="21" t="n"/>
      <c r="H263" s="22">
        <f>IF(G263="","",G263+3)</f>
        <v/>
      </c>
      <c r="I263" s="22">
        <f>IF(G263="","",G263+7)</f>
        <v/>
      </c>
      <c r="J263" s="22">
        <f>IF(G263="","",G263+14)</f>
        <v/>
      </c>
      <c r="K263" s="19" t="n"/>
      <c r="L263" s="19" t="n"/>
    </row>
    <row r="264">
      <c r="A264" s="19" t="n"/>
      <c r="B264" s="19" t="n"/>
      <c r="C264" s="19" t="n"/>
      <c r="D264" s="19" t="n"/>
      <c r="E264" s="19" t="n"/>
      <c r="F264" s="19" t="n"/>
      <c r="G264" s="21" t="n"/>
      <c r="H264" s="22">
        <f>IF(G264="","",G264+3)</f>
        <v/>
      </c>
      <c r="I264" s="22">
        <f>IF(G264="","",G264+7)</f>
        <v/>
      </c>
      <c r="J264" s="22">
        <f>IF(G264="","",G264+14)</f>
        <v/>
      </c>
      <c r="K264" s="19" t="n"/>
      <c r="L264" s="19" t="n"/>
    </row>
    <row r="265">
      <c r="A265" s="19" t="n"/>
      <c r="B265" s="19" t="n"/>
      <c r="C265" s="19" t="n"/>
      <c r="D265" s="19" t="n"/>
      <c r="E265" s="19" t="n"/>
      <c r="F265" s="19" t="n"/>
      <c r="G265" s="21" t="n"/>
      <c r="H265" s="22">
        <f>IF(G265="","",G265+3)</f>
        <v/>
      </c>
      <c r="I265" s="22">
        <f>IF(G265="","",G265+7)</f>
        <v/>
      </c>
      <c r="J265" s="22">
        <f>IF(G265="","",G265+14)</f>
        <v/>
      </c>
      <c r="K265" s="19" t="n"/>
      <c r="L265" s="19" t="n"/>
    </row>
    <row r="266">
      <c r="A266" s="19" t="n"/>
      <c r="B266" s="19" t="n"/>
      <c r="C266" s="19" t="n"/>
      <c r="D266" s="19" t="n"/>
      <c r="E266" s="19" t="n"/>
      <c r="F266" s="19" t="n"/>
      <c r="G266" s="21" t="n"/>
      <c r="H266" s="22">
        <f>IF(G266="","",G266+3)</f>
        <v/>
      </c>
      <c r="I266" s="22">
        <f>IF(G266="","",G266+7)</f>
        <v/>
      </c>
      <c r="J266" s="22">
        <f>IF(G266="","",G266+14)</f>
        <v/>
      </c>
      <c r="K266" s="19" t="n"/>
      <c r="L266" s="19" t="n"/>
    </row>
    <row r="267">
      <c r="A267" s="19" t="n"/>
      <c r="B267" s="19" t="n"/>
      <c r="C267" s="19" t="n"/>
      <c r="D267" s="19" t="n"/>
      <c r="E267" s="19" t="n"/>
      <c r="F267" s="19" t="n"/>
      <c r="G267" s="21" t="n"/>
      <c r="H267" s="22">
        <f>IF(G267="","",G267+3)</f>
        <v/>
      </c>
      <c r="I267" s="22">
        <f>IF(G267="","",G267+7)</f>
        <v/>
      </c>
      <c r="J267" s="22">
        <f>IF(G267="","",G267+14)</f>
        <v/>
      </c>
      <c r="K267" s="19" t="n"/>
      <c r="L267" s="19" t="n"/>
    </row>
    <row r="268">
      <c r="A268" s="19" t="n"/>
      <c r="B268" s="19" t="n"/>
      <c r="C268" s="19" t="n"/>
      <c r="D268" s="19" t="n"/>
      <c r="E268" s="19" t="n"/>
      <c r="F268" s="19" t="n"/>
      <c r="G268" s="21" t="n"/>
      <c r="H268" s="22">
        <f>IF(G268="","",G268+3)</f>
        <v/>
      </c>
      <c r="I268" s="22">
        <f>IF(G268="","",G268+7)</f>
        <v/>
      </c>
      <c r="J268" s="22">
        <f>IF(G268="","",G268+14)</f>
        <v/>
      </c>
      <c r="K268" s="19" t="n"/>
      <c r="L268" s="19" t="n"/>
    </row>
    <row r="269">
      <c r="A269" s="19" t="n"/>
      <c r="B269" s="19" t="n"/>
      <c r="C269" s="19" t="n"/>
      <c r="D269" s="19" t="n"/>
      <c r="E269" s="19" t="n"/>
      <c r="F269" s="19" t="n"/>
      <c r="G269" s="21" t="n"/>
      <c r="H269" s="22">
        <f>IF(G269="","",G269+3)</f>
        <v/>
      </c>
      <c r="I269" s="22">
        <f>IF(G269="","",G269+7)</f>
        <v/>
      </c>
      <c r="J269" s="22">
        <f>IF(G269="","",G269+14)</f>
        <v/>
      </c>
      <c r="K269" s="19" t="n"/>
      <c r="L269" s="19" t="n"/>
    </row>
    <row r="270">
      <c r="A270" s="19" t="n"/>
      <c r="B270" s="19" t="n"/>
      <c r="C270" s="19" t="n"/>
      <c r="D270" s="19" t="n"/>
      <c r="E270" s="19" t="n"/>
      <c r="F270" s="19" t="n"/>
      <c r="G270" s="21" t="n"/>
      <c r="H270" s="22">
        <f>IF(G270="","",G270+3)</f>
        <v/>
      </c>
      <c r="I270" s="22">
        <f>IF(G270="","",G270+7)</f>
        <v/>
      </c>
      <c r="J270" s="22">
        <f>IF(G270="","",G270+14)</f>
        <v/>
      </c>
      <c r="K270" s="19" t="n"/>
      <c r="L270" s="19" t="n"/>
    </row>
    <row r="271">
      <c r="A271" s="19" t="n"/>
      <c r="B271" s="19" t="n"/>
      <c r="C271" s="19" t="n"/>
      <c r="D271" s="19" t="n"/>
      <c r="E271" s="19" t="n"/>
      <c r="F271" s="19" t="n"/>
      <c r="G271" s="21" t="n"/>
      <c r="H271" s="22">
        <f>IF(G271="","",G271+3)</f>
        <v/>
      </c>
      <c r="I271" s="22">
        <f>IF(G271="","",G271+7)</f>
        <v/>
      </c>
      <c r="J271" s="22">
        <f>IF(G271="","",G271+14)</f>
        <v/>
      </c>
      <c r="K271" s="19" t="n"/>
      <c r="L271" s="19" t="n"/>
    </row>
    <row r="272">
      <c r="A272" s="19" t="n"/>
      <c r="B272" s="19" t="n"/>
      <c r="C272" s="19" t="n"/>
      <c r="D272" s="19" t="n"/>
      <c r="E272" s="19" t="n"/>
      <c r="F272" s="19" t="n"/>
      <c r="G272" s="21" t="n"/>
      <c r="H272" s="22">
        <f>IF(G272="","",G272+3)</f>
        <v/>
      </c>
      <c r="I272" s="22">
        <f>IF(G272="","",G272+7)</f>
        <v/>
      </c>
      <c r="J272" s="22">
        <f>IF(G272="","",G272+14)</f>
        <v/>
      </c>
      <c r="K272" s="19" t="n"/>
      <c r="L272" s="19" t="n"/>
    </row>
    <row r="273">
      <c r="A273" s="19" t="n"/>
      <c r="B273" s="19" t="n"/>
      <c r="C273" s="19" t="n"/>
      <c r="D273" s="19" t="n"/>
      <c r="E273" s="19" t="n"/>
      <c r="F273" s="19" t="n"/>
      <c r="G273" s="21" t="n"/>
      <c r="H273" s="22">
        <f>IF(G273="","",G273+3)</f>
        <v/>
      </c>
      <c r="I273" s="22">
        <f>IF(G273="","",G273+7)</f>
        <v/>
      </c>
      <c r="J273" s="22">
        <f>IF(G273="","",G273+14)</f>
        <v/>
      </c>
      <c r="K273" s="19" t="n"/>
      <c r="L273" s="19" t="n"/>
    </row>
    <row r="274">
      <c r="A274" s="19" t="n"/>
      <c r="B274" s="19" t="n"/>
      <c r="C274" s="19" t="n"/>
      <c r="D274" s="19" t="n"/>
      <c r="E274" s="19" t="n"/>
      <c r="F274" s="19" t="n"/>
      <c r="G274" s="21" t="n"/>
      <c r="H274" s="22">
        <f>IF(G274="","",G274+3)</f>
        <v/>
      </c>
      <c r="I274" s="22">
        <f>IF(G274="","",G274+7)</f>
        <v/>
      </c>
      <c r="J274" s="22">
        <f>IF(G274="","",G274+14)</f>
        <v/>
      </c>
      <c r="K274" s="19" t="n"/>
      <c r="L274" s="19" t="n"/>
    </row>
    <row r="275">
      <c r="A275" s="19" t="n"/>
      <c r="B275" s="19" t="n"/>
      <c r="C275" s="19" t="n"/>
      <c r="D275" s="19" t="n"/>
      <c r="E275" s="19" t="n"/>
      <c r="F275" s="19" t="n"/>
      <c r="G275" s="21" t="n"/>
      <c r="H275" s="22">
        <f>IF(G275="","",G275+3)</f>
        <v/>
      </c>
      <c r="I275" s="22">
        <f>IF(G275="","",G275+7)</f>
        <v/>
      </c>
      <c r="J275" s="22">
        <f>IF(G275="","",G275+14)</f>
        <v/>
      </c>
      <c r="K275" s="19" t="n"/>
      <c r="L275" s="19" t="n"/>
    </row>
    <row r="276">
      <c r="A276" s="19" t="n"/>
      <c r="B276" s="19" t="n"/>
      <c r="C276" s="19" t="n"/>
      <c r="D276" s="19" t="n"/>
      <c r="E276" s="19" t="n"/>
      <c r="F276" s="19" t="n"/>
      <c r="G276" s="21" t="n"/>
      <c r="H276" s="22">
        <f>IF(G276="","",G276+3)</f>
        <v/>
      </c>
      <c r="I276" s="22">
        <f>IF(G276="","",G276+7)</f>
        <v/>
      </c>
      <c r="J276" s="22">
        <f>IF(G276="","",G276+14)</f>
        <v/>
      </c>
      <c r="K276" s="19" t="n"/>
      <c r="L276" s="19" t="n"/>
    </row>
    <row r="277">
      <c r="A277" s="19" t="n"/>
      <c r="B277" s="19" t="n"/>
      <c r="C277" s="19" t="n"/>
      <c r="D277" s="19" t="n"/>
      <c r="E277" s="19" t="n"/>
      <c r="F277" s="19" t="n"/>
      <c r="G277" s="21" t="n"/>
      <c r="H277" s="22">
        <f>IF(G277="","",G277+3)</f>
        <v/>
      </c>
      <c r="I277" s="22">
        <f>IF(G277="","",G277+7)</f>
        <v/>
      </c>
      <c r="J277" s="22">
        <f>IF(G277="","",G277+14)</f>
        <v/>
      </c>
      <c r="K277" s="19" t="n"/>
      <c r="L277" s="19" t="n"/>
    </row>
    <row r="278">
      <c r="A278" s="19" t="n"/>
      <c r="B278" s="19" t="n"/>
      <c r="C278" s="19" t="n"/>
      <c r="D278" s="19" t="n"/>
      <c r="E278" s="19" t="n"/>
      <c r="F278" s="19" t="n"/>
      <c r="G278" s="21" t="n"/>
      <c r="H278" s="22">
        <f>IF(G278="","",G278+3)</f>
        <v/>
      </c>
      <c r="I278" s="22">
        <f>IF(G278="","",G278+7)</f>
        <v/>
      </c>
      <c r="J278" s="22">
        <f>IF(G278="","",G278+14)</f>
        <v/>
      </c>
      <c r="K278" s="19" t="n"/>
      <c r="L278" s="19" t="n"/>
    </row>
    <row r="279">
      <c r="A279" s="19" t="n"/>
      <c r="B279" s="19" t="n"/>
      <c r="C279" s="19" t="n"/>
      <c r="D279" s="19" t="n"/>
      <c r="E279" s="19" t="n"/>
      <c r="F279" s="19" t="n"/>
      <c r="G279" s="21" t="n"/>
      <c r="H279" s="22">
        <f>IF(G279="","",G279+3)</f>
        <v/>
      </c>
      <c r="I279" s="22">
        <f>IF(G279="","",G279+7)</f>
        <v/>
      </c>
      <c r="J279" s="22">
        <f>IF(G279="","",G279+14)</f>
        <v/>
      </c>
      <c r="K279" s="19" t="n"/>
      <c r="L279" s="19" t="n"/>
    </row>
    <row r="280">
      <c r="A280" s="19" t="n"/>
      <c r="B280" s="19" t="n"/>
      <c r="C280" s="19" t="n"/>
      <c r="D280" s="19" t="n"/>
      <c r="E280" s="19" t="n"/>
      <c r="F280" s="19" t="n"/>
      <c r="G280" s="21" t="n"/>
      <c r="H280" s="22">
        <f>IF(G280="","",G280+3)</f>
        <v/>
      </c>
      <c r="I280" s="22">
        <f>IF(G280="","",G280+7)</f>
        <v/>
      </c>
      <c r="J280" s="22">
        <f>IF(G280="","",G280+14)</f>
        <v/>
      </c>
      <c r="K280" s="19" t="n"/>
      <c r="L280" s="19" t="n"/>
    </row>
    <row r="281">
      <c r="A281" s="19" t="n"/>
      <c r="B281" s="19" t="n"/>
      <c r="C281" s="19" t="n"/>
      <c r="D281" s="19" t="n"/>
      <c r="E281" s="19" t="n"/>
      <c r="F281" s="19" t="n"/>
      <c r="G281" s="21" t="n"/>
      <c r="H281" s="22">
        <f>IF(G281="","",G281+3)</f>
        <v/>
      </c>
      <c r="I281" s="22">
        <f>IF(G281="","",G281+7)</f>
        <v/>
      </c>
      <c r="J281" s="22">
        <f>IF(G281="","",G281+14)</f>
        <v/>
      </c>
      <c r="K281" s="19" t="n"/>
      <c r="L281" s="19" t="n"/>
    </row>
    <row r="282">
      <c r="A282" s="19" t="n"/>
      <c r="B282" s="19" t="n"/>
      <c r="C282" s="19" t="n"/>
      <c r="D282" s="19" t="n"/>
      <c r="E282" s="19" t="n"/>
      <c r="F282" s="19" t="n"/>
      <c r="G282" s="21" t="n"/>
      <c r="H282" s="22">
        <f>IF(G282="","",G282+3)</f>
        <v/>
      </c>
      <c r="I282" s="22">
        <f>IF(G282="","",G282+7)</f>
        <v/>
      </c>
      <c r="J282" s="22">
        <f>IF(G282="","",G282+14)</f>
        <v/>
      </c>
      <c r="K282" s="19" t="n"/>
      <c r="L282" s="19" t="n"/>
    </row>
    <row r="283">
      <c r="A283" s="19" t="n"/>
      <c r="B283" s="19" t="n"/>
      <c r="C283" s="19" t="n"/>
      <c r="D283" s="19" t="n"/>
      <c r="E283" s="19" t="n"/>
      <c r="F283" s="19" t="n"/>
      <c r="G283" s="21" t="n"/>
      <c r="H283" s="22">
        <f>IF(G283="","",G283+3)</f>
        <v/>
      </c>
      <c r="I283" s="22">
        <f>IF(G283="","",G283+7)</f>
        <v/>
      </c>
      <c r="J283" s="22">
        <f>IF(G283="","",G283+14)</f>
        <v/>
      </c>
      <c r="K283" s="19" t="n"/>
      <c r="L283" s="19" t="n"/>
    </row>
    <row r="284">
      <c r="A284" s="19" t="n"/>
      <c r="B284" s="19" t="n"/>
      <c r="C284" s="19" t="n"/>
      <c r="D284" s="19" t="n"/>
      <c r="E284" s="19" t="n"/>
      <c r="F284" s="19" t="n"/>
      <c r="G284" s="21" t="n"/>
      <c r="H284" s="22">
        <f>IF(G284="","",G284+3)</f>
        <v/>
      </c>
      <c r="I284" s="22">
        <f>IF(G284="","",G284+7)</f>
        <v/>
      </c>
      <c r="J284" s="22">
        <f>IF(G284="","",G284+14)</f>
        <v/>
      </c>
      <c r="K284" s="19" t="n"/>
      <c r="L284" s="19" t="n"/>
    </row>
    <row r="285">
      <c r="A285" s="19" t="n"/>
      <c r="B285" s="19" t="n"/>
      <c r="C285" s="19" t="n"/>
      <c r="D285" s="19" t="n"/>
      <c r="E285" s="19" t="n"/>
      <c r="F285" s="19" t="n"/>
      <c r="G285" s="21" t="n"/>
      <c r="H285" s="22">
        <f>IF(G285="","",G285+3)</f>
        <v/>
      </c>
      <c r="I285" s="22">
        <f>IF(G285="","",G285+7)</f>
        <v/>
      </c>
      <c r="J285" s="22">
        <f>IF(G285="","",G285+14)</f>
        <v/>
      </c>
      <c r="K285" s="19" t="n"/>
      <c r="L285" s="19" t="n"/>
    </row>
    <row r="286">
      <c r="A286" s="19" t="n"/>
      <c r="B286" s="19" t="n"/>
      <c r="C286" s="19" t="n"/>
      <c r="D286" s="19" t="n"/>
      <c r="E286" s="19" t="n"/>
      <c r="F286" s="19" t="n"/>
      <c r="G286" s="21" t="n"/>
      <c r="H286" s="22">
        <f>IF(G286="","",G286+3)</f>
        <v/>
      </c>
      <c r="I286" s="22">
        <f>IF(G286="","",G286+7)</f>
        <v/>
      </c>
      <c r="J286" s="22">
        <f>IF(G286="","",G286+14)</f>
        <v/>
      </c>
      <c r="K286" s="19" t="n"/>
      <c r="L286" s="19" t="n"/>
    </row>
    <row r="287">
      <c r="A287" s="19" t="n"/>
      <c r="B287" s="19" t="n"/>
      <c r="C287" s="19" t="n"/>
      <c r="D287" s="19" t="n"/>
      <c r="E287" s="19" t="n"/>
      <c r="F287" s="19" t="n"/>
      <c r="G287" s="21" t="n"/>
      <c r="H287" s="22">
        <f>IF(G287="","",G287+3)</f>
        <v/>
      </c>
      <c r="I287" s="22">
        <f>IF(G287="","",G287+7)</f>
        <v/>
      </c>
      <c r="J287" s="22">
        <f>IF(G287="","",G287+14)</f>
        <v/>
      </c>
      <c r="K287" s="19" t="n"/>
      <c r="L287" s="19" t="n"/>
    </row>
    <row r="288">
      <c r="A288" s="19" t="n"/>
      <c r="B288" s="19" t="n"/>
      <c r="C288" s="19" t="n"/>
      <c r="D288" s="19" t="n"/>
      <c r="E288" s="19" t="n"/>
      <c r="F288" s="19" t="n"/>
      <c r="G288" s="21" t="n"/>
      <c r="H288" s="22">
        <f>IF(G288="","",G288+3)</f>
        <v/>
      </c>
      <c r="I288" s="22">
        <f>IF(G288="","",G288+7)</f>
        <v/>
      </c>
      <c r="J288" s="22">
        <f>IF(G288="","",G288+14)</f>
        <v/>
      </c>
      <c r="K288" s="19" t="n"/>
      <c r="L288" s="19" t="n"/>
    </row>
    <row r="289">
      <c r="A289" s="19" t="n"/>
      <c r="B289" s="19" t="n"/>
      <c r="C289" s="19" t="n"/>
      <c r="D289" s="19" t="n"/>
      <c r="E289" s="19" t="n"/>
      <c r="F289" s="19" t="n"/>
      <c r="G289" s="21" t="n"/>
      <c r="H289" s="22">
        <f>IF(G289="","",G289+3)</f>
        <v/>
      </c>
      <c r="I289" s="22">
        <f>IF(G289="","",G289+7)</f>
        <v/>
      </c>
      <c r="J289" s="22">
        <f>IF(G289="","",G289+14)</f>
        <v/>
      </c>
      <c r="K289" s="19" t="n"/>
      <c r="L289" s="19" t="n"/>
    </row>
    <row r="290">
      <c r="A290" s="19" t="n"/>
      <c r="B290" s="19" t="n"/>
      <c r="C290" s="19" t="n"/>
      <c r="D290" s="19" t="n"/>
      <c r="E290" s="19" t="n"/>
      <c r="F290" s="19" t="n"/>
      <c r="G290" s="21" t="n"/>
      <c r="H290" s="22">
        <f>IF(G290="","",G290+3)</f>
        <v/>
      </c>
      <c r="I290" s="22">
        <f>IF(G290="","",G290+7)</f>
        <v/>
      </c>
      <c r="J290" s="22">
        <f>IF(G290="","",G290+14)</f>
        <v/>
      </c>
      <c r="K290" s="19" t="n"/>
      <c r="L290" s="19" t="n"/>
    </row>
    <row r="291">
      <c r="A291" s="19" t="n"/>
      <c r="B291" s="19" t="n"/>
      <c r="C291" s="19" t="n"/>
      <c r="D291" s="19" t="n"/>
      <c r="E291" s="19" t="n"/>
      <c r="F291" s="19" t="n"/>
      <c r="G291" s="21" t="n"/>
      <c r="H291" s="22">
        <f>IF(G291="","",G291+3)</f>
        <v/>
      </c>
      <c r="I291" s="22">
        <f>IF(G291="","",G291+7)</f>
        <v/>
      </c>
      <c r="J291" s="22">
        <f>IF(G291="","",G291+14)</f>
        <v/>
      </c>
      <c r="K291" s="19" t="n"/>
      <c r="L291" s="19" t="n"/>
    </row>
    <row r="292">
      <c r="A292" s="19" t="n"/>
      <c r="B292" s="19" t="n"/>
      <c r="C292" s="19" t="n"/>
      <c r="D292" s="19" t="n"/>
      <c r="E292" s="19" t="n"/>
      <c r="F292" s="19" t="n"/>
      <c r="G292" s="21" t="n"/>
      <c r="H292" s="22">
        <f>IF(G292="","",G292+3)</f>
        <v/>
      </c>
      <c r="I292" s="22">
        <f>IF(G292="","",G292+7)</f>
        <v/>
      </c>
      <c r="J292" s="22">
        <f>IF(G292="","",G292+14)</f>
        <v/>
      </c>
      <c r="K292" s="19" t="n"/>
      <c r="L292" s="19" t="n"/>
    </row>
    <row r="293">
      <c r="A293" s="19" t="n"/>
      <c r="B293" s="19" t="n"/>
      <c r="C293" s="19" t="n"/>
      <c r="D293" s="19" t="n"/>
      <c r="E293" s="19" t="n"/>
      <c r="F293" s="19" t="n"/>
      <c r="G293" s="21" t="n"/>
      <c r="H293" s="22">
        <f>IF(G293="","",G293+3)</f>
        <v/>
      </c>
      <c r="I293" s="22">
        <f>IF(G293="","",G293+7)</f>
        <v/>
      </c>
      <c r="J293" s="22">
        <f>IF(G293="","",G293+14)</f>
        <v/>
      </c>
      <c r="K293" s="19" t="n"/>
      <c r="L293" s="19" t="n"/>
    </row>
    <row r="294">
      <c r="A294" s="19" t="n"/>
      <c r="B294" s="19" t="n"/>
      <c r="C294" s="19" t="n"/>
      <c r="D294" s="19" t="n"/>
      <c r="E294" s="19" t="n"/>
      <c r="F294" s="19" t="n"/>
      <c r="G294" s="21" t="n"/>
      <c r="H294" s="22">
        <f>IF(G294="","",G294+3)</f>
        <v/>
      </c>
      <c r="I294" s="22">
        <f>IF(G294="","",G294+7)</f>
        <v/>
      </c>
      <c r="J294" s="22">
        <f>IF(G294="","",G294+14)</f>
        <v/>
      </c>
      <c r="K294" s="19" t="n"/>
      <c r="L294" s="19" t="n"/>
    </row>
    <row r="295">
      <c r="A295" s="19" t="n"/>
      <c r="B295" s="19" t="n"/>
      <c r="C295" s="19" t="n"/>
      <c r="D295" s="19" t="n"/>
      <c r="E295" s="19" t="n"/>
      <c r="F295" s="19" t="n"/>
      <c r="G295" s="21" t="n"/>
      <c r="H295" s="22">
        <f>IF(G295="","",G295+3)</f>
        <v/>
      </c>
      <c r="I295" s="22">
        <f>IF(G295="","",G295+7)</f>
        <v/>
      </c>
      <c r="J295" s="22">
        <f>IF(G295="","",G295+14)</f>
        <v/>
      </c>
      <c r="K295" s="19" t="n"/>
      <c r="L295" s="19" t="n"/>
    </row>
    <row r="296">
      <c r="A296" s="19" t="n"/>
      <c r="B296" s="19" t="n"/>
      <c r="C296" s="19" t="n"/>
      <c r="D296" s="19" t="n"/>
      <c r="E296" s="19" t="n"/>
      <c r="F296" s="19" t="n"/>
      <c r="G296" s="21" t="n"/>
      <c r="H296" s="22">
        <f>IF(G296="","",G296+3)</f>
        <v/>
      </c>
      <c r="I296" s="22">
        <f>IF(G296="","",G296+7)</f>
        <v/>
      </c>
      <c r="J296" s="22">
        <f>IF(G296="","",G296+14)</f>
        <v/>
      </c>
      <c r="K296" s="19" t="n"/>
      <c r="L296" s="19" t="n"/>
    </row>
    <row r="297">
      <c r="A297" s="19" t="n"/>
      <c r="B297" s="19" t="n"/>
      <c r="C297" s="19" t="n"/>
      <c r="D297" s="19" t="n"/>
      <c r="E297" s="19" t="n"/>
      <c r="F297" s="19" t="n"/>
      <c r="G297" s="21" t="n"/>
      <c r="H297" s="22">
        <f>IF(G297="","",G297+3)</f>
        <v/>
      </c>
      <c r="I297" s="22">
        <f>IF(G297="","",G297+7)</f>
        <v/>
      </c>
      <c r="J297" s="22">
        <f>IF(G297="","",G297+14)</f>
        <v/>
      </c>
      <c r="K297" s="19" t="n"/>
      <c r="L297" s="19" t="n"/>
    </row>
    <row r="298">
      <c r="A298" s="19" t="n"/>
      <c r="B298" s="19" t="n"/>
      <c r="C298" s="19" t="n"/>
      <c r="D298" s="19" t="n"/>
      <c r="E298" s="19" t="n"/>
      <c r="F298" s="19" t="n"/>
      <c r="G298" s="21" t="n"/>
      <c r="H298" s="22">
        <f>IF(G298="","",G298+3)</f>
        <v/>
      </c>
      <c r="I298" s="22">
        <f>IF(G298="","",G298+7)</f>
        <v/>
      </c>
      <c r="J298" s="22">
        <f>IF(G298="","",G298+14)</f>
        <v/>
      </c>
      <c r="K298" s="19" t="n"/>
      <c r="L298" s="19" t="n"/>
    </row>
    <row r="299">
      <c r="A299" s="19" t="n"/>
      <c r="B299" s="19" t="n"/>
      <c r="C299" s="19" t="n"/>
      <c r="D299" s="19" t="n"/>
      <c r="E299" s="19" t="n"/>
      <c r="F299" s="19" t="n"/>
      <c r="G299" s="21" t="n"/>
      <c r="H299" s="22">
        <f>IF(G299="","",G299+3)</f>
        <v/>
      </c>
      <c r="I299" s="22">
        <f>IF(G299="","",G299+7)</f>
        <v/>
      </c>
      <c r="J299" s="22">
        <f>IF(G299="","",G299+14)</f>
        <v/>
      </c>
      <c r="K299" s="19" t="n"/>
      <c r="L299" s="19" t="n"/>
    </row>
    <row r="300">
      <c r="A300" s="19" t="n"/>
      <c r="B300" s="19" t="n"/>
      <c r="C300" s="19" t="n"/>
      <c r="D300" s="19" t="n"/>
      <c r="E300" s="19" t="n"/>
      <c r="F300" s="19" t="n"/>
      <c r="G300" s="21" t="n"/>
      <c r="H300" s="22">
        <f>IF(G300="","",G300+3)</f>
        <v/>
      </c>
      <c r="I300" s="22">
        <f>IF(G300="","",G300+7)</f>
        <v/>
      </c>
      <c r="J300" s="22">
        <f>IF(G300="","",G300+14)</f>
        <v/>
      </c>
      <c r="K300" s="19" t="n"/>
      <c r="L300" s="19" t="n"/>
    </row>
    <row r="301">
      <c r="A301" s="19" t="n"/>
      <c r="B301" s="19" t="n"/>
      <c r="C301" s="19" t="n"/>
      <c r="D301" s="19" t="n"/>
      <c r="E301" s="19" t="n"/>
      <c r="F301" s="19" t="n"/>
      <c r="G301" s="21" t="n"/>
      <c r="H301" s="22">
        <f>IF(G301="","",G301+3)</f>
        <v/>
      </c>
      <c r="I301" s="22">
        <f>IF(G301="","",G301+7)</f>
        <v/>
      </c>
      <c r="J301" s="22">
        <f>IF(G301="","",G301+14)</f>
        <v/>
      </c>
      <c r="K301" s="19" t="n"/>
      <c r="L301" s="19" t="n"/>
    </row>
    <row r="302">
      <c r="A302" s="19" t="n"/>
      <c r="B302" s="19" t="n"/>
      <c r="C302" s="19" t="n"/>
      <c r="D302" s="19" t="n"/>
      <c r="E302" s="19" t="n"/>
      <c r="F302" s="19" t="n"/>
      <c r="G302" s="21" t="n"/>
      <c r="H302" s="22">
        <f>IF(G302="","",G302+3)</f>
        <v/>
      </c>
      <c r="I302" s="22">
        <f>IF(G302="","",G302+7)</f>
        <v/>
      </c>
      <c r="J302" s="22">
        <f>IF(G302="","",G302+14)</f>
        <v/>
      </c>
      <c r="K302" s="19" t="n"/>
      <c r="L302" s="19" t="n"/>
    </row>
    <row r="303">
      <c r="A303" s="19" t="n"/>
      <c r="B303" s="19" t="n"/>
      <c r="C303" s="19" t="n"/>
      <c r="D303" s="19" t="n"/>
      <c r="E303" s="19" t="n"/>
      <c r="F303" s="19" t="n"/>
      <c r="G303" s="21" t="n"/>
      <c r="H303" s="22">
        <f>IF(G303="","",G303+3)</f>
        <v/>
      </c>
      <c r="I303" s="22">
        <f>IF(G303="","",G303+7)</f>
        <v/>
      </c>
      <c r="J303" s="22">
        <f>IF(G303="","",G303+14)</f>
        <v/>
      </c>
      <c r="K303" s="19" t="n"/>
      <c r="L303" s="19" t="n"/>
    </row>
    <row r="304">
      <c r="A304" s="19" t="n"/>
      <c r="B304" s="19" t="n"/>
      <c r="C304" s="19" t="n"/>
      <c r="D304" s="19" t="n"/>
      <c r="E304" s="19" t="n"/>
      <c r="F304" s="19" t="n"/>
      <c r="G304" s="21" t="n"/>
      <c r="H304" s="22">
        <f>IF(G304="","",G304+3)</f>
        <v/>
      </c>
      <c r="I304" s="22">
        <f>IF(G304="","",G304+7)</f>
        <v/>
      </c>
      <c r="J304" s="22">
        <f>IF(G304="","",G304+14)</f>
        <v/>
      </c>
      <c r="K304" s="19" t="n"/>
      <c r="L304" s="19" t="n"/>
    </row>
    <row r="305">
      <c r="A305" s="19" t="n"/>
      <c r="B305" s="19" t="n"/>
      <c r="C305" s="19" t="n"/>
      <c r="D305" s="19" t="n"/>
      <c r="E305" s="19" t="n"/>
      <c r="F305" s="19" t="n"/>
      <c r="G305" s="21" t="n"/>
      <c r="H305" s="22">
        <f>IF(G305="","",G305+3)</f>
        <v/>
      </c>
      <c r="I305" s="22">
        <f>IF(G305="","",G305+7)</f>
        <v/>
      </c>
      <c r="J305" s="22">
        <f>IF(G305="","",G305+14)</f>
        <v/>
      </c>
      <c r="K305" s="19" t="n"/>
      <c r="L305" s="19" t="n"/>
    </row>
    <row r="306">
      <c r="A306" s="19" t="n"/>
      <c r="B306" s="19" t="n"/>
      <c r="C306" s="19" t="n"/>
      <c r="D306" s="19" t="n"/>
      <c r="E306" s="19" t="n"/>
      <c r="F306" s="19" t="n"/>
      <c r="G306" s="21" t="n"/>
      <c r="H306" s="22">
        <f>IF(G306="","",G306+3)</f>
        <v/>
      </c>
      <c r="I306" s="22">
        <f>IF(G306="","",G306+7)</f>
        <v/>
      </c>
      <c r="J306" s="22">
        <f>IF(G306="","",G306+14)</f>
        <v/>
      </c>
      <c r="K306" s="19" t="n"/>
      <c r="L306" s="19" t="n"/>
    </row>
    <row r="307">
      <c r="A307" s="19" t="n"/>
      <c r="B307" s="19" t="n"/>
      <c r="C307" s="19" t="n"/>
      <c r="D307" s="19" t="n"/>
      <c r="E307" s="19" t="n"/>
      <c r="F307" s="19" t="n"/>
      <c r="G307" s="21" t="n"/>
      <c r="H307" s="22">
        <f>IF(G307="","",G307+3)</f>
        <v/>
      </c>
      <c r="I307" s="22">
        <f>IF(G307="","",G307+7)</f>
        <v/>
      </c>
      <c r="J307" s="22">
        <f>IF(G307="","",G307+14)</f>
        <v/>
      </c>
      <c r="K307" s="19" t="n"/>
      <c r="L307" s="19" t="n"/>
    </row>
    <row r="308">
      <c r="A308" s="19" t="n"/>
      <c r="B308" s="19" t="n"/>
      <c r="C308" s="19" t="n"/>
      <c r="D308" s="19" t="n"/>
      <c r="E308" s="19" t="n"/>
      <c r="F308" s="19" t="n"/>
      <c r="G308" s="21" t="n"/>
      <c r="H308" s="22">
        <f>IF(G308="","",G308+3)</f>
        <v/>
      </c>
      <c r="I308" s="22">
        <f>IF(G308="","",G308+7)</f>
        <v/>
      </c>
      <c r="J308" s="22">
        <f>IF(G308="","",G308+14)</f>
        <v/>
      </c>
      <c r="K308" s="19" t="n"/>
      <c r="L308" s="19" t="n"/>
    </row>
    <row r="309">
      <c r="A309" s="19" t="n"/>
      <c r="B309" s="19" t="n"/>
      <c r="C309" s="19" t="n"/>
      <c r="D309" s="19" t="n"/>
      <c r="E309" s="19" t="n"/>
      <c r="F309" s="19" t="n"/>
      <c r="G309" s="21" t="n"/>
      <c r="H309" s="22">
        <f>IF(G309="","",G309+3)</f>
        <v/>
      </c>
      <c r="I309" s="22">
        <f>IF(G309="","",G309+7)</f>
        <v/>
      </c>
      <c r="J309" s="22">
        <f>IF(G309="","",G309+14)</f>
        <v/>
      </c>
      <c r="K309" s="19" t="n"/>
      <c r="L309" s="19" t="n"/>
    </row>
    <row r="310">
      <c r="A310" s="19" t="n"/>
      <c r="B310" s="19" t="n"/>
      <c r="C310" s="19" t="n"/>
      <c r="D310" s="19" t="n"/>
      <c r="E310" s="19" t="n"/>
      <c r="F310" s="19" t="n"/>
      <c r="G310" s="21" t="n"/>
      <c r="H310" s="22">
        <f>IF(G310="","",G310+3)</f>
        <v/>
      </c>
      <c r="I310" s="22">
        <f>IF(G310="","",G310+7)</f>
        <v/>
      </c>
      <c r="J310" s="22">
        <f>IF(G310="","",G310+14)</f>
        <v/>
      </c>
      <c r="K310" s="19" t="n"/>
      <c r="L310" s="19" t="n"/>
    </row>
    <row r="311">
      <c r="A311" s="19" t="n"/>
      <c r="B311" s="19" t="n"/>
      <c r="C311" s="19" t="n"/>
      <c r="D311" s="19" t="n"/>
      <c r="E311" s="19" t="n"/>
      <c r="F311" s="19" t="n"/>
      <c r="G311" s="21" t="n"/>
      <c r="H311" s="22">
        <f>IF(G311="","",G311+3)</f>
        <v/>
      </c>
      <c r="I311" s="22">
        <f>IF(G311="","",G311+7)</f>
        <v/>
      </c>
      <c r="J311" s="22">
        <f>IF(G311="","",G311+14)</f>
        <v/>
      </c>
      <c r="K311" s="19" t="n"/>
      <c r="L311" s="19" t="n"/>
    </row>
    <row r="312">
      <c r="A312" s="19" t="n"/>
      <c r="B312" s="19" t="n"/>
      <c r="C312" s="19" t="n"/>
      <c r="D312" s="19" t="n"/>
      <c r="E312" s="19" t="n"/>
      <c r="F312" s="19" t="n"/>
      <c r="G312" s="21" t="n"/>
      <c r="H312" s="22">
        <f>IF(G312="","",G312+3)</f>
        <v/>
      </c>
      <c r="I312" s="22">
        <f>IF(G312="","",G312+7)</f>
        <v/>
      </c>
      <c r="J312" s="22">
        <f>IF(G312="","",G312+14)</f>
        <v/>
      </c>
      <c r="K312" s="19" t="n"/>
      <c r="L312" s="19" t="n"/>
    </row>
    <row r="313">
      <c r="A313" s="19" t="n"/>
      <c r="B313" s="19" t="n"/>
      <c r="C313" s="19" t="n"/>
      <c r="D313" s="19" t="n"/>
      <c r="E313" s="19" t="n"/>
      <c r="F313" s="19" t="n"/>
      <c r="G313" s="21" t="n"/>
      <c r="H313" s="22">
        <f>IF(G313="","",G313+3)</f>
        <v/>
      </c>
      <c r="I313" s="22">
        <f>IF(G313="","",G313+7)</f>
        <v/>
      </c>
      <c r="J313" s="22">
        <f>IF(G313="","",G313+14)</f>
        <v/>
      </c>
      <c r="K313" s="19" t="n"/>
      <c r="L313" s="19" t="n"/>
    </row>
    <row r="314">
      <c r="A314" s="19" t="n"/>
      <c r="B314" s="19" t="n"/>
      <c r="C314" s="19" t="n"/>
      <c r="D314" s="19" t="n"/>
      <c r="E314" s="19" t="n"/>
      <c r="F314" s="19" t="n"/>
      <c r="G314" s="21" t="n"/>
      <c r="H314" s="22">
        <f>IF(G314="","",G314+3)</f>
        <v/>
      </c>
      <c r="I314" s="22">
        <f>IF(G314="","",G314+7)</f>
        <v/>
      </c>
      <c r="J314" s="22">
        <f>IF(G314="","",G314+14)</f>
        <v/>
      </c>
      <c r="K314" s="19" t="n"/>
      <c r="L314" s="19" t="n"/>
    </row>
    <row r="315">
      <c r="A315" s="19" t="n"/>
      <c r="B315" s="19" t="n"/>
      <c r="C315" s="19" t="n"/>
      <c r="D315" s="19" t="n"/>
      <c r="E315" s="19" t="n"/>
      <c r="F315" s="19" t="n"/>
      <c r="G315" s="21" t="n"/>
      <c r="H315" s="22">
        <f>IF(G315="","",G315+3)</f>
        <v/>
      </c>
      <c r="I315" s="22">
        <f>IF(G315="","",G315+7)</f>
        <v/>
      </c>
      <c r="J315" s="22">
        <f>IF(G315="","",G315+14)</f>
        <v/>
      </c>
      <c r="K315" s="19" t="n"/>
      <c r="L315" s="19" t="n"/>
    </row>
    <row r="316">
      <c r="A316" s="19" t="n"/>
      <c r="B316" s="19" t="n"/>
      <c r="C316" s="19" t="n"/>
      <c r="D316" s="19" t="n"/>
      <c r="E316" s="19" t="n"/>
      <c r="F316" s="19" t="n"/>
      <c r="G316" s="21" t="n"/>
      <c r="H316" s="22">
        <f>IF(G316="","",G316+3)</f>
        <v/>
      </c>
      <c r="I316" s="22">
        <f>IF(G316="","",G316+7)</f>
        <v/>
      </c>
      <c r="J316" s="22">
        <f>IF(G316="","",G316+14)</f>
        <v/>
      </c>
      <c r="K316" s="19" t="n"/>
      <c r="L316" s="19" t="n"/>
    </row>
    <row r="317">
      <c r="A317" s="19" t="n"/>
      <c r="B317" s="19" t="n"/>
      <c r="C317" s="19" t="n"/>
      <c r="D317" s="19" t="n"/>
      <c r="E317" s="19" t="n"/>
      <c r="F317" s="19" t="n"/>
      <c r="G317" s="21" t="n"/>
      <c r="H317" s="22">
        <f>IF(G317="","",G317+3)</f>
        <v/>
      </c>
      <c r="I317" s="22">
        <f>IF(G317="","",G317+7)</f>
        <v/>
      </c>
      <c r="J317" s="22">
        <f>IF(G317="","",G317+14)</f>
        <v/>
      </c>
      <c r="K317" s="19" t="n"/>
      <c r="L317" s="19" t="n"/>
    </row>
    <row r="318">
      <c r="A318" s="19" t="n"/>
      <c r="B318" s="19" t="n"/>
      <c r="C318" s="19" t="n"/>
      <c r="D318" s="19" t="n"/>
      <c r="E318" s="19" t="n"/>
      <c r="F318" s="19" t="n"/>
      <c r="G318" s="21" t="n"/>
      <c r="H318" s="22">
        <f>IF(G318="","",G318+3)</f>
        <v/>
      </c>
      <c r="I318" s="22">
        <f>IF(G318="","",G318+7)</f>
        <v/>
      </c>
      <c r="J318" s="22">
        <f>IF(G318="","",G318+14)</f>
        <v/>
      </c>
      <c r="K318" s="19" t="n"/>
      <c r="L318" s="19" t="n"/>
    </row>
    <row r="319">
      <c r="A319" s="19" t="n"/>
      <c r="B319" s="19" t="n"/>
      <c r="C319" s="19" t="n"/>
      <c r="D319" s="19" t="n"/>
      <c r="E319" s="19" t="n"/>
      <c r="F319" s="19" t="n"/>
      <c r="G319" s="21" t="n"/>
      <c r="H319" s="22">
        <f>IF(G319="","",G319+3)</f>
        <v/>
      </c>
      <c r="I319" s="22">
        <f>IF(G319="","",G319+7)</f>
        <v/>
      </c>
      <c r="J319" s="22">
        <f>IF(G319="","",G319+14)</f>
        <v/>
      </c>
      <c r="K319" s="19" t="n"/>
      <c r="L319" s="19" t="n"/>
    </row>
    <row r="320">
      <c r="A320" s="19" t="n"/>
      <c r="B320" s="19" t="n"/>
      <c r="C320" s="19" t="n"/>
      <c r="D320" s="19" t="n"/>
      <c r="E320" s="19" t="n"/>
      <c r="F320" s="19" t="n"/>
      <c r="G320" s="21" t="n"/>
      <c r="H320" s="22">
        <f>IF(G320="","",G320+3)</f>
        <v/>
      </c>
      <c r="I320" s="22">
        <f>IF(G320="","",G320+7)</f>
        <v/>
      </c>
      <c r="J320" s="22">
        <f>IF(G320="","",G320+14)</f>
        <v/>
      </c>
      <c r="K320" s="19" t="n"/>
      <c r="L320" s="19" t="n"/>
    </row>
    <row r="321">
      <c r="A321" s="19" t="n"/>
      <c r="B321" s="19" t="n"/>
      <c r="C321" s="19" t="n"/>
      <c r="D321" s="19" t="n"/>
      <c r="E321" s="19" t="n"/>
      <c r="F321" s="19" t="n"/>
      <c r="G321" s="21" t="n"/>
      <c r="H321" s="22">
        <f>IF(G321="","",G321+3)</f>
        <v/>
      </c>
      <c r="I321" s="22">
        <f>IF(G321="","",G321+7)</f>
        <v/>
      </c>
      <c r="J321" s="22">
        <f>IF(G321="","",G321+14)</f>
        <v/>
      </c>
      <c r="K321" s="19" t="n"/>
      <c r="L321" s="19" t="n"/>
    </row>
    <row r="322">
      <c r="A322" s="19" t="n"/>
      <c r="B322" s="19" t="n"/>
      <c r="C322" s="19" t="n"/>
      <c r="D322" s="19" t="n"/>
      <c r="E322" s="19" t="n"/>
      <c r="F322" s="19" t="n"/>
      <c r="G322" s="21" t="n"/>
      <c r="H322" s="22">
        <f>IF(G322="","",G322+3)</f>
        <v/>
      </c>
      <c r="I322" s="22">
        <f>IF(G322="","",G322+7)</f>
        <v/>
      </c>
      <c r="J322" s="22">
        <f>IF(G322="","",G322+14)</f>
        <v/>
      </c>
      <c r="K322" s="19" t="n"/>
      <c r="L322" s="19" t="n"/>
    </row>
    <row r="323">
      <c r="A323" s="19" t="n"/>
      <c r="B323" s="19" t="n"/>
      <c r="C323" s="19" t="n"/>
      <c r="D323" s="19" t="n"/>
      <c r="E323" s="19" t="n"/>
      <c r="F323" s="19" t="n"/>
      <c r="G323" s="21" t="n"/>
      <c r="H323" s="22">
        <f>IF(G323="","",G323+3)</f>
        <v/>
      </c>
      <c r="I323" s="22">
        <f>IF(G323="","",G323+7)</f>
        <v/>
      </c>
      <c r="J323" s="22">
        <f>IF(G323="","",G323+14)</f>
        <v/>
      </c>
      <c r="K323" s="19" t="n"/>
      <c r="L323" s="19" t="n"/>
    </row>
    <row r="324">
      <c r="A324" s="19" t="n"/>
      <c r="B324" s="19" t="n"/>
      <c r="C324" s="19" t="n"/>
      <c r="D324" s="19" t="n"/>
      <c r="E324" s="19" t="n"/>
      <c r="F324" s="19" t="n"/>
      <c r="G324" s="21" t="n"/>
      <c r="H324" s="22">
        <f>IF(G324="","",G324+3)</f>
        <v/>
      </c>
      <c r="I324" s="22">
        <f>IF(G324="","",G324+7)</f>
        <v/>
      </c>
      <c r="J324" s="22">
        <f>IF(G324="","",G324+14)</f>
        <v/>
      </c>
      <c r="K324" s="19" t="n"/>
      <c r="L324" s="19" t="n"/>
    </row>
    <row r="325">
      <c r="A325" s="19" t="n"/>
      <c r="B325" s="19" t="n"/>
      <c r="C325" s="19" t="n"/>
      <c r="D325" s="19" t="n"/>
      <c r="E325" s="19" t="n"/>
      <c r="F325" s="19" t="n"/>
      <c r="G325" s="21" t="n"/>
      <c r="H325" s="22">
        <f>IF(G325="","",G325+3)</f>
        <v/>
      </c>
      <c r="I325" s="22">
        <f>IF(G325="","",G325+7)</f>
        <v/>
      </c>
      <c r="J325" s="22">
        <f>IF(G325="","",G325+14)</f>
        <v/>
      </c>
      <c r="K325" s="19" t="n"/>
      <c r="L325" s="19" t="n"/>
    </row>
    <row r="326">
      <c r="A326" s="19" t="n"/>
      <c r="B326" s="19" t="n"/>
      <c r="C326" s="19" t="n"/>
      <c r="D326" s="19" t="n"/>
      <c r="E326" s="19" t="n"/>
      <c r="F326" s="19" t="n"/>
      <c r="G326" s="21" t="n"/>
      <c r="H326" s="22">
        <f>IF(G326="","",G326+3)</f>
        <v/>
      </c>
      <c r="I326" s="22">
        <f>IF(G326="","",G326+7)</f>
        <v/>
      </c>
      <c r="J326" s="22">
        <f>IF(G326="","",G326+14)</f>
        <v/>
      </c>
      <c r="K326" s="19" t="n"/>
      <c r="L326" s="19" t="n"/>
    </row>
    <row r="327">
      <c r="A327" s="19" t="n"/>
      <c r="B327" s="19" t="n"/>
      <c r="C327" s="19" t="n"/>
      <c r="D327" s="19" t="n"/>
      <c r="E327" s="19" t="n"/>
      <c r="F327" s="19" t="n"/>
      <c r="G327" s="21" t="n"/>
      <c r="H327" s="22">
        <f>IF(G327="","",G327+3)</f>
        <v/>
      </c>
      <c r="I327" s="22">
        <f>IF(G327="","",G327+7)</f>
        <v/>
      </c>
      <c r="J327" s="22">
        <f>IF(G327="","",G327+14)</f>
        <v/>
      </c>
      <c r="K327" s="19" t="n"/>
      <c r="L327" s="19" t="n"/>
    </row>
    <row r="328">
      <c r="A328" s="19" t="n"/>
      <c r="B328" s="19" t="n"/>
      <c r="C328" s="19" t="n"/>
      <c r="D328" s="19" t="n"/>
      <c r="E328" s="19" t="n"/>
      <c r="F328" s="19" t="n"/>
      <c r="G328" s="21" t="n"/>
      <c r="H328" s="22">
        <f>IF(G328="","",G328+3)</f>
        <v/>
      </c>
      <c r="I328" s="22">
        <f>IF(G328="","",G328+7)</f>
        <v/>
      </c>
      <c r="J328" s="22">
        <f>IF(G328="","",G328+14)</f>
        <v/>
      </c>
      <c r="K328" s="19" t="n"/>
      <c r="L328" s="19" t="n"/>
    </row>
    <row r="329">
      <c r="A329" s="19" t="n"/>
      <c r="B329" s="19" t="n"/>
      <c r="C329" s="19" t="n"/>
      <c r="D329" s="19" t="n"/>
      <c r="E329" s="19" t="n"/>
      <c r="F329" s="19" t="n"/>
      <c r="G329" s="21" t="n"/>
      <c r="H329" s="22">
        <f>IF(G329="","",G329+3)</f>
        <v/>
      </c>
      <c r="I329" s="22">
        <f>IF(G329="","",G329+7)</f>
        <v/>
      </c>
      <c r="J329" s="22">
        <f>IF(G329="","",G329+14)</f>
        <v/>
      </c>
      <c r="K329" s="19" t="n"/>
      <c r="L329" s="19" t="n"/>
    </row>
    <row r="330">
      <c r="A330" s="19" t="n"/>
      <c r="B330" s="19" t="n"/>
      <c r="C330" s="19" t="n"/>
      <c r="D330" s="19" t="n"/>
      <c r="E330" s="19" t="n"/>
      <c r="F330" s="19" t="n"/>
      <c r="G330" s="21" t="n"/>
      <c r="H330" s="22">
        <f>IF(G330="","",G330+3)</f>
        <v/>
      </c>
      <c r="I330" s="22">
        <f>IF(G330="","",G330+7)</f>
        <v/>
      </c>
      <c r="J330" s="22">
        <f>IF(G330="","",G330+14)</f>
        <v/>
      </c>
      <c r="K330" s="19" t="n"/>
      <c r="L330" s="19" t="n"/>
    </row>
    <row r="331">
      <c r="A331" s="19" t="n"/>
      <c r="B331" s="19" t="n"/>
      <c r="C331" s="19" t="n"/>
      <c r="D331" s="19" t="n"/>
      <c r="E331" s="19" t="n"/>
      <c r="F331" s="19" t="n"/>
      <c r="G331" s="21" t="n"/>
      <c r="H331" s="22">
        <f>IF(G331="","",G331+3)</f>
        <v/>
      </c>
      <c r="I331" s="22">
        <f>IF(G331="","",G331+7)</f>
        <v/>
      </c>
      <c r="J331" s="22">
        <f>IF(G331="","",G331+14)</f>
        <v/>
      </c>
      <c r="K331" s="19" t="n"/>
      <c r="L331" s="19" t="n"/>
    </row>
    <row r="332">
      <c r="A332" s="19" t="n"/>
      <c r="B332" s="19" t="n"/>
      <c r="C332" s="19" t="n"/>
      <c r="D332" s="19" t="n"/>
      <c r="E332" s="19" t="n"/>
      <c r="F332" s="19" t="n"/>
      <c r="G332" s="21" t="n"/>
      <c r="H332" s="22">
        <f>IF(G332="","",G332+3)</f>
        <v/>
      </c>
      <c r="I332" s="22">
        <f>IF(G332="","",G332+7)</f>
        <v/>
      </c>
      <c r="J332" s="22">
        <f>IF(G332="","",G332+14)</f>
        <v/>
      </c>
      <c r="K332" s="19" t="n"/>
      <c r="L332" s="19" t="n"/>
    </row>
    <row r="333">
      <c r="A333" s="19" t="n"/>
      <c r="B333" s="19" t="n"/>
      <c r="C333" s="19" t="n"/>
      <c r="D333" s="19" t="n"/>
      <c r="E333" s="19" t="n"/>
      <c r="F333" s="19" t="n"/>
      <c r="G333" s="21" t="n"/>
      <c r="H333" s="22">
        <f>IF(G333="","",G333+3)</f>
        <v/>
      </c>
      <c r="I333" s="22">
        <f>IF(G333="","",G333+7)</f>
        <v/>
      </c>
      <c r="J333" s="22">
        <f>IF(G333="","",G333+14)</f>
        <v/>
      </c>
      <c r="K333" s="19" t="n"/>
      <c r="L333" s="19" t="n"/>
    </row>
    <row r="334">
      <c r="A334" s="19" t="n"/>
      <c r="B334" s="19" t="n"/>
      <c r="C334" s="19" t="n"/>
      <c r="D334" s="19" t="n"/>
      <c r="E334" s="19" t="n"/>
      <c r="F334" s="19" t="n"/>
      <c r="G334" s="21" t="n"/>
      <c r="H334" s="22">
        <f>IF(G334="","",G334+3)</f>
        <v/>
      </c>
      <c r="I334" s="22">
        <f>IF(G334="","",G334+7)</f>
        <v/>
      </c>
      <c r="J334" s="22">
        <f>IF(G334="","",G334+14)</f>
        <v/>
      </c>
      <c r="K334" s="19" t="n"/>
      <c r="L334" s="19" t="n"/>
    </row>
    <row r="335">
      <c r="A335" s="19" t="n"/>
      <c r="B335" s="19" t="n"/>
      <c r="C335" s="19" t="n"/>
      <c r="D335" s="19" t="n"/>
      <c r="E335" s="19" t="n"/>
      <c r="F335" s="19" t="n"/>
      <c r="G335" s="21" t="n"/>
      <c r="H335" s="22">
        <f>IF(G335="","",G335+3)</f>
        <v/>
      </c>
      <c r="I335" s="22">
        <f>IF(G335="","",G335+7)</f>
        <v/>
      </c>
      <c r="J335" s="22">
        <f>IF(G335="","",G335+14)</f>
        <v/>
      </c>
      <c r="K335" s="19" t="n"/>
      <c r="L335" s="19" t="n"/>
    </row>
    <row r="336">
      <c r="A336" s="19" t="n"/>
      <c r="B336" s="19" t="n"/>
      <c r="C336" s="19" t="n"/>
      <c r="D336" s="19" t="n"/>
      <c r="E336" s="19" t="n"/>
      <c r="F336" s="19" t="n"/>
      <c r="G336" s="21" t="n"/>
      <c r="H336" s="22">
        <f>IF(G336="","",G336+3)</f>
        <v/>
      </c>
      <c r="I336" s="22">
        <f>IF(G336="","",G336+7)</f>
        <v/>
      </c>
      <c r="J336" s="22">
        <f>IF(G336="","",G336+14)</f>
        <v/>
      </c>
      <c r="K336" s="19" t="n"/>
      <c r="L336" s="19" t="n"/>
    </row>
    <row r="337">
      <c r="A337" s="19" t="n"/>
      <c r="B337" s="19" t="n"/>
      <c r="C337" s="19" t="n"/>
      <c r="D337" s="19" t="n"/>
      <c r="E337" s="19" t="n"/>
      <c r="F337" s="19" t="n"/>
      <c r="G337" s="21" t="n"/>
      <c r="H337" s="22">
        <f>IF(G337="","",G337+3)</f>
        <v/>
      </c>
      <c r="I337" s="22">
        <f>IF(G337="","",G337+7)</f>
        <v/>
      </c>
      <c r="J337" s="22">
        <f>IF(G337="","",G337+14)</f>
        <v/>
      </c>
      <c r="K337" s="19" t="n"/>
      <c r="L337" s="19" t="n"/>
    </row>
    <row r="338">
      <c r="A338" s="19" t="n"/>
      <c r="B338" s="19" t="n"/>
      <c r="C338" s="19" t="n"/>
      <c r="D338" s="19" t="n"/>
      <c r="E338" s="19" t="n"/>
      <c r="F338" s="19" t="n"/>
      <c r="G338" s="21" t="n"/>
      <c r="H338" s="22">
        <f>IF(G338="","",G338+3)</f>
        <v/>
      </c>
      <c r="I338" s="22">
        <f>IF(G338="","",G338+7)</f>
        <v/>
      </c>
      <c r="J338" s="22">
        <f>IF(G338="","",G338+14)</f>
        <v/>
      </c>
      <c r="K338" s="19" t="n"/>
      <c r="L338" s="19" t="n"/>
    </row>
    <row r="339">
      <c r="A339" s="19" t="n"/>
      <c r="B339" s="19" t="n"/>
      <c r="C339" s="19" t="n"/>
      <c r="D339" s="19" t="n"/>
      <c r="E339" s="19" t="n"/>
      <c r="F339" s="19" t="n"/>
      <c r="G339" s="21" t="n"/>
      <c r="H339" s="22">
        <f>IF(G339="","",G339+3)</f>
        <v/>
      </c>
      <c r="I339" s="22">
        <f>IF(G339="","",G339+7)</f>
        <v/>
      </c>
      <c r="J339" s="22">
        <f>IF(G339="","",G339+14)</f>
        <v/>
      </c>
      <c r="K339" s="19" t="n"/>
      <c r="L339" s="19" t="n"/>
    </row>
    <row r="340">
      <c r="A340" s="19" t="n"/>
      <c r="B340" s="19" t="n"/>
      <c r="C340" s="19" t="n"/>
      <c r="D340" s="19" t="n"/>
      <c r="E340" s="19" t="n"/>
      <c r="F340" s="19" t="n"/>
      <c r="G340" s="21" t="n"/>
      <c r="H340" s="22">
        <f>IF(G340="","",G340+3)</f>
        <v/>
      </c>
      <c r="I340" s="22">
        <f>IF(G340="","",G340+7)</f>
        <v/>
      </c>
      <c r="J340" s="22">
        <f>IF(G340="","",G340+14)</f>
        <v/>
      </c>
      <c r="K340" s="19" t="n"/>
      <c r="L340" s="19" t="n"/>
    </row>
    <row r="341">
      <c r="A341" s="19" t="n"/>
      <c r="B341" s="19" t="n"/>
      <c r="C341" s="19" t="n"/>
      <c r="D341" s="19" t="n"/>
      <c r="E341" s="19" t="n"/>
      <c r="F341" s="19" t="n"/>
      <c r="G341" s="21" t="n"/>
      <c r="H341" s="22">
        <f>IF(G341="","",G341+3)</f>
        <v/>
      </c>
      <c r="I341" s="22">
        <f>IF(G341="","",G341+7)</f>
        <v/>
      </c>
      <c r="J341" s="22">
        <f>IF(G341="","",G341+14)</f>
        <v/>
      </c>
      <c r="K341" s="19" t="n"/>
      <c r="L341" s="19" t="n"/>
    </row>
    <row r="342">
      <c r="A342" s="19" t="n"/>
      <c r="B342" s="19" t="n"/>
      <c r="C342" s="19" t="n"/>
      <c r="D342" s="19" t="n"/>
      <c r="E342" s="19" t="n"/>
      <c r="F342" s="19" t="n"/>
      <c r="G342" s="21" t="n"/>
      <c r="H342" s="22">
        <f>IF(G342="","",G342+3)</f>
        <v/>
      </c>
      <c r="I342" s="22">
        <f>IF(G342="","",G342+7)</f>
        <v/>
      </c>
      <c r="J342" s="22">
        <f>IF(G342="","",G342+14)</f>
        <v/>
      </c>
      <c r="K342" s="19" t="n"/>
      <c r="L342" s="19" t="n"/>
    </row>
    <row r="343">
      <c r="A343" s="19" t="n"/>
      <c r="B343" s="19" t="n"/>
      <c r="C343" s="19" t="n"/>
      <c r="D343" s="19" t="n"/>
      <c r="E343" s="19" t="n"/>
      <c r="F343" s="19" t="n"/>
      <c r="G343" s="21" t="n"/>
      <c r="H343" s="22">
        <f>IF(G343="","",G343+3)</f>
        <v/>
      </c>
      <c r="I343" s="22">
        <f>IF(G343="","",G343+7)</f>
        <v/>
      </c>
      <c r="J343" s="22">
        <f>IF(G343="","",G343+14)</f>
        <v/>
      </c>
      <c r="K343" s="19" t="n"/>
      <c r="L343" s="19" t="n"/>
    </row>
    <row r="344">
      <c r="A344" s="19" t="n"/>
      <c r="B344" s="19" t="n"/>
      <c r="C344" s="19" t="n"/>
      <c r="D344" s="19" t="n"/>
      <c r="E344" s="19" t="n"/>
      <c r="F344" s="19" t="n"/>
      <c r="G344" s="21" t="n"/>
      <c r="H344" s="22">
        <f>IF(G344="","",G344+3)</f>
        <v/>
      </c>
      <c r="I344" s="22">
        <f>IF(G344="","",G344+7)</f>
        <v/>
      </c>
      <c r="J344" s="22">
        <f>IF(G344="","",G344+14)</f>
        <v/>
      </c>
      <c r="K344" s="19" t="n"/>
      <c r="L344" s="19" t="n"/>
    </row>
    <row r="345">
      <c r="A345" s="19" t="n"/>
      <c r="B345" s="19" t="n"/>
      <c r="C345" s="19" t="n"/>
      <c r="D345" s="19" t="n"/>
      <c r="E345" s="19" t="n"/>
      <c r="F345" s="19" t="n"/>
      <c r="G345" s="21" t="n"/>
      <c r="H345" s="22">
        <f>IF(G345="","",G345+3)</f>
        <v/>
      </c>
      <c r="I345" s="22">
        <f>IF(G345="","",G345+7)</f>
        <v/>
      </c>
      <c r="J345" s="22">
        <f>IF(G345="","",G345+14)</f>
        <v/>
      </c>
      <c r="K345" s="19" t="n"/>
      <c r="L345" s="19" t="n"/>
    </row>
    <row r="346">
      <c r="A346" s="19" t="n"/>
      <c r="B346" s="19" t="n"/>
      <c r="C346" s="19" t="n"/>
      <c r="D346" s="19" t="n"/>
      <c r="E346" s="19" t="n"/>
      <c r="F346" s="19" t="n"/>
      <c r="G346" s="21" t="n"/>
      <c r="H346" s="22">
        <f>IF(G346="","",G346+3)</f>
        <v/>
      </c>
      <c r="I346" s="22">
        <f>IF(G346="","",G346+7)</f>
        <v/>
      </c>
      <c r="J346" s="22">
        <f>IF(G346="","",G346+14)</f>
        <v/>
      </c>
      <c r="K346" s="19" t="n"/>
      <c r="L346" s="19" t="n"/>
    </row>
    <row r="347">
      <c r="A347" s="19" t="n"/>
      <c r="B347" s="19" t="n"/>
      <c r="C347" s="19" t="n"/>
      <c r="D347" s="19" t="n"/>
      <c r="E347" s="19" t="n"/>
      <c r="F347" s="19" t="n"/>
      <c r="G347" s="21" t="n"/>
      <c r="H347" s="22">
        <f>IF(G347="","",G347+3)</f>
        <v/>
      </c>
      <c r="I347" s="22">
        <f>IF(G347="","",G347+7)</f>
        <v/>
      </c>
      <c r="J347" s="22">
        <f>IF(G347="","",G347+14)</f>
        <v/>
      </c>
      <c r="K347" s="19" t="n"/>
      <c r="L347" s="19" t="n"/>
    </row>
    <row r="348">
      <c r="A348" s="19" t="n"/>
      <c r="B348" s="19" t="n"/>
      <c r="C348" s="19" t="n"/>
      <c r="D348" s="19" t="n"/>
      <c r="E348" s="19" t="n"/>
      <c r="F348" s="19" t="n"/>
      <c r="G348" s="21" t="n"/>
      <c r="H348" s="22">
        <f>IF(G348="","",G348+3)</f>
        <v/>
      </c>
      <c r="I348" s="22">
        <f>IF(G348="","",G348+7)</f>
        <v/>
      </c>
      <c r="J348" s="22">
        <f>IF(G348="","",G348+14)</f>
        <v/>
      </c>
      <c r="K348" s="19" t="n"/>
      <c r="L348" s="19" t="n"/>
    </row>
    <row r="349">
      <c r="A349" s="19" t="n"/>
      <c r="B349" s="19" t="n"/>
      <c r="C349" s="19" t="n"/>
      <c r="D349" s="19" t="n"/>
      <c r="E349" s="19" t="n"/>
      <c r="F349" s="19" t="n"/>
      <c r="G349" s="21" t="n"/>
      <c r="H349" s="22">
        <f>IF(G349="","",G349+3)</f>
        <v/>
      </c>
      <c r="I349" s="22">
        <f>IF(G349="","",G349+7)</f>
        <v/>
      </c>
      <c r="J349" s="22">
        <f>IF(G349="","",G349+14)</f>
        <v/>
      </c>
      <c r="K349" s="19" t="n"/>
      <c r="L349" s="19" t="n"/>
    </row>
    <row r="350">
      <c r="A350" s="19" t="n"/>
      <c r="B350" s="19" t="n"/>
      <c r="C350" s="19" t="n"/>
      <c r="D350" s="19" t="n"/>
      <c r="E350" s="19" t="n"/>
      <c r="F350" s="19" t="n"/>
      <c r="G350" s="21" t="n"/>
      <c r="H350" s="22">
        <f>IF(G350="","",G350+3)</f>
        <v/>
      </c>
      <c r="I350" s="22">
        <f>IF(G350="","",G350+7)</f>
        <v/>
      </c>
      <c r="J350" s="22">
        <f>IF(G350="","",G350+14)</f>
        <v/>
      </c>
      <c r="K350" s="19" t="n"/>
      <c r="L350" s="19" t="n"/>
    </row>
    <row r="351">
      <c r="A351" s="19" t="n"/>
      <c r="B351" s="19" t="n"/>
      <c r="C351" s="19" t="n"/>
      <c r="D351" s="19" t="n"/>
      <c r="E351" s="19" t="n"/>
      <c r="F351" s="19" t="n"/>
      <c r="G351" s="21" t="n"/>
      <c r="H351" s="22">
        <f>IF(G351="","",G351+3)</f>
        <v/>
      </c>
      <c r="I351" s="22">
        <f>IF(G351="","",G351+7)</f>
        <v/>
      </c>
      <c r="J351" s="22">
        <f>IF(G351="","",G351+14)</f>
        <v/>
      </c>
      <c r="K351" s="19" t="n"/>
      <c r="L351" s="19" t="n"/>
    </row>
    <row r="352">
      <c r="A352" s="19" t="n"/>
      <c r="B352" s="19" t="n"/>
      <c r="C352" s="19" t="n"/>
      <c r="D352" s="19" t="n"/>
      <c r="E352" s="19" t="n"/>
      <c r="F352" s="19" t="n"/>
      <c r="G352" s="21" t="n"/>
      <c r="H352" s="22">
        <f>IF(G352="","",G352+3)</f>
        <v/>
      </c>
      <c r="I352" s="22">
        <f>IF(G352="","",G352+7)</f>
        <v/>
      </c>
      <c r="J352" s="22">
        <f>IF(G352="","",G352+14)</f>
        <v/>
      </c>
      <c r="K352" s="19" t="n"/>
      <c r="L352" s="19" t="n"/>
    </row>
    <row r="353">
      <c r="A353" s="19" t="n"/>
      <c r="B353" s="19" t="n"/>
      <c r="C353" s="19" t="n"/>
      <c r="D353" s="19" t="n"/>
      <c r="E353" s="19" t="n"/>
      <c r="F353" s="19" t="n"/>
      <c r="G353" s="21" t="n"/>
      <c r="H353" s="22">
        <f>IF(G353="","",G353+3)</f>
        <v/>
      </c>
      <c r="I353" s="22">
        <f>IF(G353="","",G353+7)</f>
        <v/>
      </c>
      <c r="J353" s="22">
        <f>IF(G353="","",G353+14)</f>
        <v/>
      </c>
      <c r="K353" s="19" t="n"/>
      <c r="L353" s="19" t="n"/>
    </row>
    <row r="354">
      <c r="A354" s="19" t="n"/>
      <c r="B354" s="19" t="n"/>
      <c r="C354" s="19" t="n"/>
      <c r="D354" s="19" t="n"/>
      <c r="E354" s="19" t="n"/>
      <c r="F354" s="19" t="n"/>
      <c r="G354" s="21" t="n"/>
      <c r="H354" s="22">
        <f>IF(G354="","",G354+3)</f>
        <v/>
      </c>
      <c r="I354" s="22">
        <f>IF(G354="","",G354+7)</f>
        <v/>
      </c>
      <c r="J354" s="22">
        <f>IF(G354="","",G354+14)</f>
        <v/>
      </c>
      <c r="K354" s="19" t="n"/>
      <c r="L354" s="19" t="n"/>
    </row>
    <row r="355">
      <c r="A355" s="19" t="n"/>
      <c r="B355" s="19" t="n"/>
      <c r="C355" s="19" t="n"/>
      <c r="D355" s="19" t="n"/>
      <c r="E355" s="19" t="n"/>
      <c r="F355" s="19" t="n"/>
      <c r="G355" s="21" t="n"/>
      <c r="H355" s="22">
        <f>IF(G355="","",G355+3)</f>
        <v/>
      </c>
      <c r="I355" s="22">
        <f>IF(G355="","",G355+7)</f>
        <v/>
      </c>
      <c r="J355" s="22">
        <f>IF(G355="","",G355+14)</f>
        <v/>
      </c>
      <c r="K355" s="19" t="n"/>
      <c r="L355" s="19" t="n"/>
    </row>
    <row r="356">
      <c r="A356" s="19" t="n"/>
      <c r="B356" s="19" t="n"/>
      <c r="C356" s="19" t="n"/>
      <c r="D356" s="19" t="n"/>
      <c r="E356" s="19" t="n"/>
      <c r="F356" s="19" t="n"/>
      <c r="G356" s="21" t="n"/>
      <c r="H356" s="22">
        <f>IF(G356="","",G356+3)</f>
        <v/>
      </c>
      <c r="I356" s="22">
        <f>IF(G356="","",G356+7)</f>
        <v/>
      </c>
      <c r="J356" s="22">
        <f>IF(G356="","",G356+14)</f>
        <v/>
      </c>
      <c r="K356" s="19" t="n"/>
      <c r="L356" s="19" t="n"/>
    </row>
    <row r="357">
      <c r="A357" s="19" t="n"/>
      <c r="B357" s="19" t="n"/>
      <c r="C357" s="19" t="n"/>
      <c r="D357" s="19" t="n"/>
      <c r="E357" s="19" t="n"/>
      <c r="F357" s="19" t="n"/>
      <c r="G357" s="21" t="n"/>
      <c r="H357" s="22">
        <f>IF(G357="","",G357+3)</f>
        <v/>
      </c>
      <c r="I357" s="22">
        <f>IF(G357="","",G357+7)</f>
        <v/>
      </c>
      <c r="J357" s="22">
        <f>IF(G357="","",G357+14)</f>
        <v/>
      </c>
      <c r="K357" s="19" t="n"/>
      <c r="L357" s="19" t="n"/>
    </row>
    <row r="358">
      <c r="A358" s="19" t="n"/>
      <c r="B358" s="19" t="n"/>
      <c r="C358" s="19" t="n"/>
      <c r="D358" s="19" t="n"/>
      <c r="E358" s="19" t="n"/>
      <c r="F358" s="19" t="n"/>
      <c r="G358" s="21" t="n"/>
      <c r="H358" s="22">
        <f>IF(G358="","",G358+3)</f>
        <v/>
      </c>
      <c r="I358" s="22">
        <f>IF(G358="","",G358+7)</f>
        <v/>
      </c>
      <c r="J358" s="22">
        <f>IF(G358="","",G358+14)</f>
        <v/>
      </c>
      <c r="K358" s="19" t="n"/>
      <c r="L358" s="19" t="n"/>
    </row>
    <row r="359">
      <c r="A359" s="19" t="n"/>
      <c r="B359" s="19" t="n"/>
      <c r="C359" s="19" t="n"/>
      <c r="D359" s="19" t="n"/>
      <c r="E359" s="19" t="n"/>
      <c r="F359" s="19" t="n"/>
      <c r="G359" s="21" t="n"/>
      <c r="H359" s="22">
        <f>IF(G359="","",G359+3)</f>
        <v/>
      </c>
      <c r="I359" s="22">
        <f>IF(G359="","",G359+7)</f>
        <v/>
      </c>
      <c r="J359" s="22">
        <f>IF(G359="","",G359+14)</f>
        <v/>
      </c>
      <c r="K359" s="19" t="n"/>
      <c r="L359" s="19" t="n"/>
    </row>
    <row r="360">
      <c r="A360" s="19" t="n"/>
      <c r="B360" s="19" t="n"/>
      <c r="C360" s="19" t="n"/>
      <c r="D360" s="19" t="n"/>
      <c r="E360" s="19" t="n"/>
      <c r="F360" s="19" t="n"/>
      <c r="G360" s="21" t="n"/>
      <c r="H360" s="22">
        <f>IF(G360="","",G360+3)</f>
        <v/>
      </c>
      <c r="I360" s="22">
        <f>IF(G360="","",G360+7)</f>
        <v/>
      </c>
      <c r="J360" s="22">
        <f>IF(G360="","",G360+14)</f>
        <v/>
      </c>
      <c r="K360" s="19" t="n"/>
      <c r="L360" s="19" t="n"/>
    </row>
    <row r="361">
      <c r="A361" s="19" t="n"/>
      <c r="B361" s="19" t="n"/>
      <c r="C361" s="19" t="n"/>
      <c r="D361" s="19" t="n"/>
      <c r="E361" s="19" t="n"/>
      <c r="F361" s="19" t="n"/>
      <c r="G361" s="21" t="n"/>
      <c r="H361" s="22">
        <f>IF(G361="","",G361+3)</f>
        <v/>
      </c>
      <c r="I361" s="22">
        <f>IF(G361="","",G361+7)</f>
        <v/>
      </c>
      <c r="J361" s="22">
        <f>IF(G361="","",G361+14)</f>
        <v/>
      </c>
      <c r="K361" s="19" t="n"/>
      <c r="L361" s="19" t="n"/>
    </row>
    <row r="362">
      <c r="A362" s="19" t="n"/>
      <c r="B362" s="19" t="n"/>
      <c r="C362" s="19" t="n"/>
      <c r="D362" s="19" t="n"/>
      <c r="E362" s="19" t="n"/>
      <c r="F362" s="19" t="n"/>
      <c r="G362" s="21" t="n"/>
      <c r="H362" s="22">
        <f>IF(G362="","",G362+3)</f>
        <v/>
      </c>
      <c r="I362" s="22">
        <f>IF(G362="","",G362+7)</f>
        <v/>
      </c>
      <c r="J362" s="22">
        <f>IF(G362="","",G362+14)</f>
        <v/>
      </c>
      <c r="K362" s="19" t="n"/>
      <c r="L362" s="19" t="n"/>
    </row>
    <row r="363">
      <c r="A363" s="19" t="n"/>
      <c r="B363" s="19" t="n"/>
      <c r="C363" s="19" t="n"/>
      <c r="D363" s="19" t="n"/>
      <c r="E363" s="19" t="n"/>
      <c r="F363" s="19" t="n"/>
      <c r="G363" s="21" t="n"/>
      <c r="H363" s="22">
        <f>IF(G363="","",G363+3)</f>
        <v/>
      </c>
      <c r="I363" s="22">
        <f>IF(G363="","",G363+7)</f>
        <v/>
      </c>
      <c r="J363" s="22">
        <f>IF(G363="","",G363+14)</f>
        <v/>
      </c>
      <c r="K363" s="19" t="n"/>
      <c r="L363" s="19" t="n"/>
    </row>
    <row r="364">
      <c r="A364" s="19" t="n"/>
      <c r="B364" s="19" t="n"/>
      <c r="C364" s="19" t="n"/>
      <c r="D364" s="19" t="n"/>
      <c r="E364" s="19" t="n"/>
      <c r="F364" s="19" t="n"/>
      <c r="G364" s="21" t="n"/>
      <c r="H364" s="22">
        <f>IF(G364="","",G364+3)</f>
        <v/>
      </c>
      <c r="I364" s="22">
        <f>IF(G364="","",G364+7)</f>
        <v/>
      </c>
      <c r="J364" s="22">
        <f>IF(G364="","",G364+14)</f>
        <v/>
      </c>
      <c r="K364" s="19" t="n"/>
      <c r="L364" s="19" t="n"/>
    </row>
    <row r="365">
      <c r="A365" s="19" t="n"/>
      <c r="B365" s="19" t="n"/>
      <c r="C365" s="19" t="n"/>
      <c r="D365" s="19" t="n"/>
      <c r="E365" s="19" t="n"/>
      <c r="F365" s="19" t="n"/>
      <c r="G365" s="21" t="n"/>
      <c r="H365" s="22">
        <f>IF(G365="","",G365+3)</f>
        <v/>
      </c>
      <c r="I365" s="22">
        <f>IF(G365="","",G365+7)</f>
        <v/>
      </c>
      <c r="J365" s="22">
        <f>IF(G365="","",G365+14)</f>
        <v/>
      </c>
      <c r="K365" s="19" t="n"/>
      <c r="L365" s="19" t="n"/>
    </row>
    <row r="366">
      <c r="A366" s="19" t="n"/>
      <c r="B366" s="19" t="n"/>
      <c r="C366" s="19" t="n"/>
      <c r="D366" s="19" t="n"/>
      <c r="E366" s="19" t="n"/>
      <c r="F366" s="19" t="n"/>
      <c r="G366" s="21" t="n"/>
      <c r="H366" s="22">
        <f>IF(G366="","",G366+3)</f>
        <v/>
      </c>
      <c r="I366" s="22">
        <f>IF(G366="","",G366+7)</f>
        <v/>
      </c>
      <c r="J366" s="22">
        <f>IF(G366="","",G366+14)</f>
        <v/>
      </c>
      <c r="K366" s="19" t="n"/>
      <c r="L366" s="19" t="n"/>
    </row>
    <row r="367">
      <c r="A367" s="19" t="n"/>
      <c r="B367" s="19" t="n"/>
      <c r="C367" s="19" t="n"/>
      <c r="D367" s="19" t="n"/>
      <c r="E367" s="19" t="n"/>
      <c r="F367" s="19" t="n"/>
      <c r="G367" s="21" t="n"/>
      <c r="H367" s="22">
        <f>IF(G367="","",G367+3)</f>
        <v/>
      </c>
      <c r="I367" s="22">
        <f>IF(G367="","",G367+7)</f>
        <v/>
      </c>
      <c r="J367" s="22">
        <f>IF(G367="","",G367+14)</f>
        <v/>
      </c>
      <c r="K367" s="19" t="n"/>
      <c r="L367" s="19" t="n"/>
    </row>
    <row r="368">
      <c r="A368" s="19" t="n"/>
      <c r="B368" s="19" t="n"/>
      <c r="C368" s="19" t="n"/>
      <c r="D368" s="19" t="n"/>
      <c r="E368" s="19" t="n"/>
      <c r="F368" s="19" t="n"/>
      <c r="G368" s="21" t="n"/>
      <c r="H368" s="22">
        <f>IF(G368="","",G368+3)</f>
        <v/>
      </c>
      <c r="I368" s="22">
        <f>IF(G368="","",G368+7)</f>
        <v/>
      </c>
      <c r="J368" s="22">
        <f>IF(G368="","",G368+14)</f>
        <v/>
      </c>
      <c r="K368" s="19" t="n"/>
      <c r="L368" s="19" t="n"/>
    </row>
    <row r="369">
      <c r="A369" s="19" t="n"/>
      <c r="B369" s="19" t="n"/>
      <c r="C369" s="19" t="n"/>
      <c r="D369" s="19" t="n"/>
      <c r="E369" s="19" t="n"/>
      <c r="F369" s="19" t="n"/>
      <c r="G369" s="21" t="n"/>
      <c r="H369" s="22">
        <f>IF(G369="","",G369+3)</f>
        <v/>
      </c>
      <c r="I369" s="22">
        <f>IF(G369="","",G369+7)</f>
        <v/>
      </c>
      <c r="J369" s="22">
        <f>IF(G369="","",G369+14)</f>
        <v/>
      </c>
      <c r="K369" s="19" t="n"/>
      <c r="L369" s="19" t="n"/>
    </row>
    <row r="370">
      <c r="A370" s="19" t="n"/>
      <c r="B370" s="19" t="n"/>
      <c r="C370" s="19" t="n"/>
      <c r="D370" s="19" t="n"/>
      <c r="E370" s="19" t="n"/>
      <c r="F370" s="19" t="n"/>
      <c r="G370" s="21" t="n"/>
      <c r="H370" s="22">
        <f>IF(G370="","",G370+3)</f>
        <v/>
      </c>
      <c r="I370" s="22">
        <f>IF(G370="","",G370+7)</f>
        <v/>
      </c>
      <c r="J370" s="22">
        <f>IF(G370="","",G370+14)</f>
        <v/>
      </c>
      <c r="K370" s="19" t="n"/>
      <c r="L370" s="19" t="n"/>
    </row>
    <row r="371">
      <c r="A371" s="19" t="n"/>
      <c r="B371" s="19" t="n"/>
      <c r="C371" s="19" t="n"/>
      <c r="D371" s="19" t="n"/>
      <c r="E371" s="19" t="n"/>
      <c r="F371" s="19" t="n"/>
      <c r="G371" s="21" t="n"/>
      <c r="H371" s="22">
        <f>IF(G371="","",G371+3)</f>
        <v/>
      </c>
      <c r="I371" s="22">
        <f>IF(G371="","",G371+7)</f>
        <v/>
      </c>
      <c r="J371" s="22">
        <f>IF(G371="","",G371+14)</f>
        <v/>
      </c>
      <c r="K371" s="19" t="n"/>
      <c r="L371" s="19" t="n"/>
    </row>
    <row r="372">
      <c r="A372" s="19" t="n"/>
      <c r="B372" s="19" t="n"/>
      <c r="C372" s="19" t="n"/>
      <c r="D372" s="19" t="n"/>
      <c r="E372" s="19" t="n"/>
      <c r="F372" s="19" t="n"/>
      <c r="G372" s="21" t="n"/>
      <c r="H372" s="22">
        <f>IF(G372="","",G372+3)</f>
        <v/>
      </c>
      <c r="I372" s="22">
        <f>IF(G372="","",G372+7)</f>
        <v/>
      </c>
      <c r="J372" s="22">
        <f>IF(G372="","",G372+14)</f>
        <v/>
      </c>
      <c r="K372" s="19" t="n"/>
      <c r="L372" s="19" t="n"/>
    </row>
    <row r="373">
      <c r="A373" s="19" t="n"/>
      <c r="B373" s="19" t="n"/>
      <c r="C373" s="19" t="n"/>
      <c r="D373" s="19" t="n"/>
      <c r="E373" s="19" t="n"/>
      <c r="F373" s="19" t="n"/>
      <c r="G373" s="21" t="n"/>
      <c r="H373" s="22">
        <f>IF(G373="","",G373+3)</f>
        <v/>
      </c>
      <c r="I373" s="22">
        <f>IF(G373="","",G373+7)</f>
        <v/>
      </c>
      <c r="J373" s="22">
        <f>IF(G373="","",G373+14)</f>
        <v/>
      </c>
      <c r="K373" s="19" t="n"/>
      <c r="L373" s="19" t="n"/>
    </row>
    <row r="374">
      <c r="A374" s="19" t="n"/>
      <c r="B374" s="19" t="n"/>
      <c r="C374" s="19" t="n"/>
      <c r="D374" s="19" t="n"/>
      <c r="E374" s="19" t="n"/>
      <c r="F374" s="19" t="n"/>
      <c r="G374" s="21" t="n"/>
      <c r="H374" s="22">
        <f>IF(G374="","",G374+3)</f>
        <v/>
      </c>
      <c r="I374" s="22">
        <f>IF(G374="","",G374+7)</f>
        <v/>
      </c>
      <c r="J374" s="22">
        <f>IF(G374="","",G374+14)</f>
        <v/>
      </c>
      <c r="K374" s="19" t="n"/>
      <c r="L374" s="19" t="n"/>
    </row>
    <row r="375">
      <c r="A375" s="19" t="n"/>
      <c r="B375" s="19" t="n"/>
      <c r="C375" s="19" t="n"/>
      <c r="D375" s="19" t="n"/>
      <c r="E375" s="19" t="n"/>
      <c r="F375" s="19" t="n"/>
      <c r="G375" s="21" t="n"/>
      <c r="H375" s="22">
        <f>IF(G375="","",G375+3)</f>
        <v/>
      </c>
      <c r="I375" s="22">
        <f>IF(G375="","",G375+7)</f>
        <v/>
      </c>
      <c r="J375" s="22">
        <f>IF(G375="","",G375+14)</f>
        <v/>
      </c>
      <c r="K375" s="19" t="n"/>
      <c r="L375" s="19" t="n"/>
    </row>
    <row r="376">
      <c r="A376" s="19" t="n"/>
      <c r="B376" s="19" t="n"/>
      <c r="C376" s="19" t="n"/>
      <c r="D376" s="19" t="n"/>
      <c r="E376" s="19" t="n"/>
      <c r="F376" s="19" t="n"/>
      <c r="G376" s="21" t="n"/>
      <c r="H376" s="22">
        <f>IF(G376="","",G376+3)</f>
        <v/>
      </c>
      <c r="I376" s="22">
        <f>IF(G376="","",G376+7)</f>
        <v/>
      </c>
      <c r="J376" s="22">
        <f>IF(G376="","",G376+14)</f>
        <v/>
      </c>
      <c r="K376" s="19" t="n"/>
      <c r="L376" s="19" t="n"/>
    </row>
    <row r="377">
      <c r="A377" s="19" t="n"/>
      <c r="B377" s="19" t="n"/>
      <c r="C377" s="19" t="n"/>
      <c r="D377" s="19" t="n"/>
      <c r="E377" s="19" t="n"/>
      <c r="F377" s="19" t="n"/>
      <c r="G377" s="21" t="n"/>
      <c r="H377" s="22">
        <f>IF(G377="","",G377+3)</f>
        <v/>
      </c>
      <c r="I377" s="22">
        <f>IF(G377="","",G377+7)</f>
        <v/>
      </c>
      <c r="J377" s="22">
        <f>IF(G377="","",G377+14)</f>
        <v/>
      </c>
      <c r="K377" s="19" t="n"/>
      <c r="L377" s="19" t="n"/>
    </row>
    <row r="378">
      <c r="A378" s="19" t="n"/>
      <c r="B378" s="19" t="n"/>
      <c r="C378" s="19" t="n"/>
      <c r="D378" s="19" t="n"/>
      <c r="E378" s="19" t="n"/>
      <c r="F378" s="19" t="n"/>
      <c r="G378" s="21" t="n"/>
      <c r="H378" s="22">
        <f>IF(G378="","",G378+3)</f>
        <v/>
      </c>
      <c r="I378" s="22">
        <f>IF(G378="","",G378+7)</f>
        <v/>
      </c>
      <c r="J378" s="22">
        <f>IF(G378="","",G378+14)</f>
        <v/>
      </c>
      <c r="K378" s="19" t="n"/>
      <c r="L378" s="19" t="n"/>
    </row>
    <row r="379">
      <c r="A379" s="19" t="n"/>
      <c r="B379" s="19" t="n"/>
      <c r="C379" s="19" t="n"/>
      <c r="D379" s="19" t="n"/>
      <c r="E379" s="19" t="n"/>
      <c r="F379" s="19" t="n"/>
      <c r="G379" s="21" t="n"/>
      <c r="H379" s="22">
        <f>IF(G379="","",G379+3)</f>
        <v/>
      </c>
      <c r="I379" s="22">
        <f>IF(G379="","",G379+7)</f>
        <v/>
      </c>
      <c r="J379" s="22">
        <f>IF(G379="","",G379+14)</f>
        <v/>
      </c>
      <c r="K379" s="19" t="n"/>
      <c r="L379" s="19" t="n"/>
    </row>
    <row r="380">
      <c r="A380" s="19" t="n"/>
      <c r="B380" s="19" t="n"/>
      <c r="C380" s="19" t="n"/>
      <c r="D380" s="19" t="n"/>
      <c r="E380" s="19" t="n"/>
      <c r="F380" s="19" t="n"/>
      <c r="G380" s="21" t="n"/>
      <c r="H380" s="22">
        <f>IF(G380="","",G380+3)</f>
        <v/>
      </c>
      <c r="I380" s="22">
        <f>IF(G380="","",G380+7)</f>
        <v/>
      </c>
      <c r="J380" s="22">
        <f>IF(G380="","",G380+14)</f>
        <v/>
      </c>
      <c r="K380" s="19" t="n"/>
      <c r="L380" s="19" t="n"/>
    </row>
    <row r="381">
      <c r="A381" s="19" t="n"/>
      <c r="B381" s="19" t="n"/>
      <c r="C381" s="19" t="n"/>
      <c r="D381" s="19" t="n"/>
      <c r="E381" s="19" t="n"/>
      <c r="F381" s="19" t="n"/>
      <c r="G381" s="21" t="n"/>
      <c r="H381" s="22">
        <f>IF(G381="","",G381+3)</f>
        <v/>
      </c>
      <c r="I381" s="22">
        <f>IF(G381="","",G381+7)</f>
        <v/>
      </c>
      <c r="J381" s="22">
        <f>IF(G381="","",G381+14)</f>
        <v/>
      </c>
      <c r="K381" s="19" t="n"/>
      <c r="L381" s="19" t="n"/>
    </row>
    <row r="382">
      <c r="A382" s="19" t="n"/>
      <c r="B382" s="19" t="n"/>
      <c r="C382" s="19" t="n"/>
      <c r="D382" s="19" t="n"/>
      <c r="E382" s="19" t="n"/>
      <c r="F382" s="19" t="n"/>
      <c r="G382" s="21" t="n"/>
      <c r="H382" s="22">
        <f>IF(G382="","",G382+3)</f>
        <v/>
      </c>
      <c r="I382" s="22">
        <f>IF(G382="","",G382+7)</f>
        <v/>
      </c>
      <c r="J382" s="22">
        <f>IF(G382="","",G382+14)</f>
        <v/>
      </c>
      <c r="K382" s="19" t="n"/>
      <c r="L382" s="19" t="n"/>
    </row>
    <row r="383">
      <c r="A383" s="19" t="n"/>
      <c r="B383" s="19" t="n"/>
      <c r="C383" s="19" t="n"/>
      <c r="D383" s="19" t="n"/>
      <c r="E383" s="19" t="n"/>
      <c r="F383" s="19" t="n"/>
      <c r="G383" s="21" t="n"/>
      <c r="H383" s="22">
        <f>IF(G383="","",G383+3)</f>
        <v/>
      </c>
      <c r="I383" s="22">
        <f>IF(G383="","",G383+7)</f>
        <v/>
      </c>
      <c r="J383" s="22">
        <f>IF(G383="","",G383+14)</f>
        <v/>
      </c>
      <c r="K383" s="19" t="n"/>
      <c r="L383" s="19" t="n"/>
    </row>
    <row r="384">
      <c r="A384" s="19" t="n"/>
      <c r="B384" s="19" t="n"/>
      <c r="C384" s="19" t="n"/>
      <c r="D384" s="19" t="n"/>
      <c r="E384" s="19" t="n"/>
      <c r="F384" s="19" t="n"/>
      <c r="G384" s="21" t="n"/>
      <c r="H384" s="22">
        <f>IF(G384="","",G384+3)</f>
        <v/>
      </c>
      <c r="I384" s="22">
        <f>IF(G384="","",G384+7)</f>
        <v/>
      </c>
      <c r="J384" s="22">
        <f>IF(G384="","",G384+14)</f>
        <v/>
      </c>
      <c r="K384" s="19" t="n"/>
      <c r="L384" s="19" t="n"/>
    </row>
    <row r="385">
      <c r="A385" s="19" t="n"/>
      <c r="B385" s="19" t="n"/>
      <c r="C385" s="19" t="n"/>
      <c r="D385" s="19" t="n"/>
      <c r="E385" s="19" t="n"/>
      <c r="F385" s="19" t="n"/>
      <c r="G385" s="21" t="n"/>
      <c r="H385" s="22">
        <f>IF(G385="","",G385+3)</f>
        <v/>
      </c>
      <c r="I385" s="22">
        <f>IF(G385="","",G385+7)</f>
        <v/>
      </c>
      <c r="J385" s="22">
        <f>IF(G385="","",G385+14)</f>
        <v/>
      </c>
      <c r="K385" s="19" t="n"/>
      <c r="L385" s="19" t="n"/>
    </row>
    <row r="386">
      <c r="A386" s="19" t="n"/>
      <c r="B386" s="19" t="n"/>
      <c r="C386" s="19" t="n"/>
      <c r="D386" s="19" t="n"/>
      <c r="E386" s="19" t="n"/>
      <c r="F386" s="19" t="n"/>
      <c r="G386" s="21" t="n"/>
      <c r="H386" s="22">
        <f>IF(G386="","",G386+3)</f>
        <v/>
      </c>
      <c r="I386" s="22">
        <f>IF(G386="","",G386+7)</f>
        <v/>
      </c>
      <c r="J386" s="22">
        <f>IF(G386="","",G386+14)</f>
        <v/>
      </c>
      <c r="K386" s="19" t="n"/>
      <c r="L386" s="19" t="n"/>
    </row>
    <row r="387">
      <c r="A387" s="19" t="n"/>
      <c r="B387" s="19" t="n"/>
      <c r="C387" s="19" t="n"/>
      <c r="D387" s="19" t="n"/>
      <c r="E387" s="19" t="n"/>
      <c r="F387" s="19" t="n"/>
      <c r="G387" s="21" t="n"/>
      <c r="H387" s="22">
        <f>IF(G387="","",G387+3)</f>
        <v/>
      </c>
      <c r="I387" s="22">
        <f>IF(G387="","",G387+7)</f>
        <v/>
      </c>
      <c r="J387" s="22">
        <f>IF(G387="","",G387+14)</f>
        <v/>
      </c>
      <c r="K387" s="19" t="n"/>
      <c r="L387" s="19" t="n"/>
    </row>
    <row r="388">
      <c r="A388" s="19" t="n"/>
      <c r="B388" s="19" t="n"/>
      <c r="C388" s="19" t="n"/>
      <c r="D388" s="19" t="n"/>
      <c r="E388" s="19" t="n"/>
      <c r="F388" s="19" t="n"/>
      <c r="G388" s="21" t="n"/>
      <c r="H388" s="22">
        <f>IF(G388="","",G388+3)</f>
        <v/>
      </c>
      <c r="I388" s="22">
        <f>IF(G388="","",G388+7)</f>
        <v/>
      </c>
      <c r="J388" s="22">
        <f>IF(G388="","",G388+14)</f>
        <v/>
      </c>
      <c r="K388" s="19" t="n"/>
      <c r="L388" s="19" t="n"/>
    </row>
    <row r="389">
      <c r="A389" s="19" t="n"/>
      <c r="B389" s="19" t="n"/>
      <c r="C389" s="19" t="n"/>
      <c r="D389" s="19" t="n"/>
      <c r="E389" s="19" t="n"/>
      <c r="F389" s="19" t="n"/>
      <c r="G389" s="21" t="n"/>
      <c r="H389" s="22">
        <f>IF(G389="","",G389+3)</f>
        <v/>
      </c>
      <c r="I389" s="22">
        <f>IF(G389="","",G389+7)</f>
        <v/>
      </c>
      <c r="J389" s="22">
        <f>IF(G389="","",G389+14)</f>
        <v/>
      </c>
      <c r="K389" s="19" t="n"/>
      <c r="L389" s="19" t="n"/>
    </row>
    <row r="390">
      <c r="A390" s="19" t="n"/>
      <c r="B390" s="19" t="n"/>
      <c r="C390" s="19" t="n"/>
      <c r="D390" s="19" t="n"/>
      <c r="E390" s="19" t="n"/>
      <c r="F390" s="19" t="n"/>
      <c r="G390" s="21" t="n"/>
      <c r="H390" s="22">
        <f>IF(G390="","",G390+3)</f>
        <v/>
      </c>
      <c r="I390" s="22">
        <f>IF(G390="","",G390+7)</f>
        <v/>
      </c>
      <c r="J390" s="22">
        <f>IF(G390="","",G390+14)</f>
        <v/>
      </c>
      <c r="K390" s="19" t="n"/>
      <c r="L390" s="19" t="n"/>
    </row>
    <row r="391">
      <c r="A391" s="19" t="n"/>
      <c r="B391" s="19" t="n"/>
      <c r="C391" s="19" t="n"/>
      <c r="D391" s="19" t="n"/>
      <c r="E391" s="19" t="n"/>
      <c r="F391" s="19" t="n"/>
      <c r="G391" s="21" t="n"/>
      <c r="H391" s="22">
        <f>IF(G391="","",G391+3)</f>
        <v/>
      </c>
      <c r="I391" s="22">
        <f>IF(G391="","",G391+7)</f>
        <v/>
      </c>
      <c r="J391" s="22">
        <f>IF(G391="","",G391+14)</f>
        <v/>
      </c>
      <c r="K391" s="19" t="n"/>
      <c r="L391" s="19" t="n"/>
    </row>
    <row r="392">
      <c r="A392" s="19" t="n"/>
      <c r="B392" s="19" t="n"/>
      <c r="C392" s="19" t="n"/>
      <c r="D392" s="19" t="n"/>
      <c r="E392" s="19" t="n"/>
      <c r="F392" s="19" t="n"/>
      <c r="G392" s="21" t="n"/>
      <c r="H392" s="22">
        <f>IF(G392="","",G392+3)</f>
        <v/>
      </c>
      <c r="I392" s="22">
        <f>IF(G392="","",G392+7)</f>
        <v/>
      </c>
      <c r="J392" s="22">
        <f>IF(G392="","",G392+14)</f>
        <v/>
      </c>
      <c r="K392" s="19" t="n"/>
      <c r="L392" s="19" t="n"/>
    </row>
    <row r="393">
      <c r="A393" s="19" t="n"/>
      <c r="B393" s="19" t="n"/>
      <c r="C393" s="19" t="n"/>
      <c r="D393" s="19" t="n"/>
      <c r="E393" s="19" t="n"/>
      <c r="F393" s="19" t="n"/>
      <c r="G393" s="21" t="n"/>
      <c r="H393" s="22">
        <f>IF(G393="","",G393+3)</f>
        <v/>
      </c>
      <c r="I393" s="22">
        <f>IF(G393="","",G393+7)</f>
        <v/>
      </c>
      <c r="J393" s="22">
        <f>IF(G393="","",G393+14)</f>
        <v/>
      </c>
      <c r="K393" s="19" t="n"/>
      <c r="L393" s="19" t="n"/>
    </row>
    <row r="394">
      <c r="A394" s="19" t="n"/>
      <c r="B394" s="19" t="n"/>
      <c r="C394" s="19" t="n"/>
      <c r="D394" s="19" t="n"/>
      <c r="E394" s="19" t="n"/>
      <c r="F394" s="19" t="n"/>
      <c r="G394" s="21" t="n"/>
      <c r="H394" s="22">
        <f>IF(G394="","",G394+3)</f>
        <v/>
      </c>
      <c r="I394" s="22">
        <f>IF(G394="","",G394+7)</f>
        <v/>
      </c>
      <c r="J394" s="22">
        <f>IF(G394="","",G394+14)</f>
        <v/>
      </c>
      <c r="K394" s="19" t="n"/>
      <c r="L394" s="19" t="n"/>
    </row>
    <row r="395">
      <c r="A395" s="19" t="n"/>
      <c r="B395" s="19" t="n"/>
      <c r="C395" s="19" t="n"/>
      <c r="D395" s="19" t="n"/>
      <c r="E395" s="19" t="n"/>
      <c r="F395" s="19" t="n"/>
      <c r="G395" s="21" t="n"/>
      <c r="H395" s="22">
        <f>IF(G395="","",G395+3)</f>
        <v/>
      </c>
      <c r="I395" s="22">
        <f>IF(G395="","",G395+7)</f>
        <v/>
      </c>
      <c r="J395" s="22">
        <f>IF(G395="","",G395+14)</f>
        <v/>
      </c>
      <c r="K395" s="19" t="n"/>
      <c r="L395" s="19" t="n"/>
    </row>
    <row r="396">
      <c r="A396" s="19" t="n"/>
      <c r="B396" s="19" t="n"/>
      <c r="C396" s="19" t="n"/>
      <c r="D396" s="19" t="n"/>
      <c r="E396" s="19" t="n"/>
      <c r="F396" s="19" t="n"/>
      <c r="G396" s="21" t="n"/>
      <c r="H396" s="22">
        <f>IF(G396="","",G396+3)</f>
        <v/>
      </c>
      <c r="I396" s="22">
        <f>IF(G396="","",G396+7)</f>
        <v/>
      </c>
      <c r="J396" s="22">
        <f>IF(G396="","",G396+14)</f>
        <v/>
      </c>
      <c r="K396" s="19" t="n"/>
      <c r="L396" s="19" t="n"/>
    </row>
    <row r="397">
      <c r="A397" s="19" t="n"/>
      <c r="B397" s="19" t="n"/>
      <c r="C397" s="19" t="n"/>
      <c r="D397" s="19" t="n"/>
      <c r="E397" s="19" t="n"/>
      <c r="F397" s="19" t="n"/>
      <c r="G397" s="21" t="n"/>
      <c r="H397" s="22">
        <f>IF(G397="","",G397+3)</f>
        <v/>
      </c>
      <c r="I397" s="22">
        <f>IF(G397="","",G397+7)</f>
        <v/>
      </c>
      <c r="J397" s="22">
        <f>IF(G397="","",G397+14)</f>
        <v/>
      </c>
      <c r="K397" s="19" t="n"/>
      <c r="L397" s="19" t="n"/>
    </row>
    <row r="398">
      <c r="A398" s="19" t="n"/>
      <c r="B398" s="19" t="n"/>
      <c r="C398" s="19" t="n"/>
      <c r="D398" s="19" t="n"/>
      <c r="E398" s="19" t="n"/>
      <c r="F398" s="19" t="n"/>
      <c r="G398" s="21" t="n"/>
      <c r="H398" s="22">
        <f>IF(G398="","",G398+3)</f>
        <v/>
      </c>
      <c r="I398" s="22">
        <f>IF(G398="","",G398+7)</f>
        <v/>
      </c>
      <c r="J398" s="22">
        <f>IF(G398="","",G398+14)</f>
        <v/>
      </c>
      <c r="K398" s="19" t="n"/>
      <c r="L398" s="19" t="n"/>
    </row>
    <row r="399">
      <c r="A399" s="19" t="n"/>
      <c r="B399" s="19" t="n"/>
      <c r="C399" s="19" t="n"/>
      <c r="D399" s="19" t="n"/>
      <c r="E399" s="19" t="n"/>
      <c r="F399" s="19" t="n"/>
      <c r="G399" s="21" t="n"/>
      <c r="H399" s="22">
        <f>IF(G399="","",G399+3)</f>
        <v/>
      </c>
      <c r="I399" s="22">
        <f>IF(G399="","",G399+7)</f>
        <v/>
      </c>
      <c r="J399" s="22">
        <f>IF(G399="","",G399+14)</f>
        <v/>
      </c>
      <c r="K399" s="19" t="n"/>
      <c r="L399" s="19" t="n"/>
    </row>
    <row r="400">
      <c r="A400" s="19" t="n"/>
      <c r="B400" s="19" t="n"/>
      <c r="C400" s="19" t="n"/>
      <c r="D400" s="19" t="n"/>
      <c r="E400" s="19" t="n"/>
      <c r="F400" s="19" t="n"/>
      <c r="G400" s="21" t="n"/>
      <c r="H400" s="22">
        <f>IF(G400="","",G400+3)</f>
        <v/>
      </c>
      <c r="I400" s="22">
        <f>IF(G400="","",G400+7)</f>
        <v/>
      </c>
      <c r="J400" s="22">
        <f>IF(G400="","",G400+14)</f>
        <v/>
      </c>
      <c r="K400" s="19" t="n"/>
      <c r="L400" s="19" t="n"/>
    </row>
    <row r="401">
      <c r="A401" s="19" t="n"/>
      <c r="B401" s="19" t="n"/>
      <c r="C401" s="19" t="n"/>
      <c r="D401" s="19" t="n"/>
      <c r="E401" s="19" t="n"/>
      <c r="F401" s="19" t="n"/>
      <c r="G401" s="21" t="n"/>
      <c r="H401" s="22">
        <f>IF(G401="","",G401+3)</f>
        <v/>
      </c>
      <c r="I401" s="22">
        <f>IF(G401="","",G401+7)</f>
        <v/>
      </c>
      <c r="J401" s="22">
        <f>IF(G401="","",G401+14)</f>
        <v/>
      </c>
      <c r="K401" s="19" t="n"/>
      <c r="L401" s="19" t="n"/>
    </row>
    <row r="402">
      <c r="A402" s="19" t="n"/>
      <c r="B402" s="19" t="n"/>
      <c r="C402" s="19" t="n"/>
      <c r="D402" s="19" t="n"/>
      <c r="E402" s="19" t="n"/>
      <c r="F402" s="19" t="n"/>
      <c r="G402" s="21" t="n"/>
      <c r="H402" s="22">
        <f>IF(G402="","",G402+3)</f>
        <v/>
      </c>
      <c r="I402" s="22">
        <f>IF(G402="","",G402+7)</f>
        <v/>
      </c>
      <c r="J402" s="22">
        <f>IF(G402="","",G402+14)</f>
        <v/>
      </c>
      <c r="K402" s="19" t="n"/>
      <c r="L402" s="19" t="n"/>
    </row>
    <row r="403">
      <c r="A403" s="19" t="n"/>
      <c r="B403" s="19" t="n"/>
      <c r="C403" s="19" t="n"/>
      <c r="D403" s="19" t="n"/>
      <c r="E403" s="19" t="n"/>
      <c r="F403" s="19" t="n"/>
      <c r="G403" s="21" t="n"/>
      <c r="H403" s="22">
        <f>IF(G403="","",G403+3)</f>
        <v/>
      </c>
      <c r="I403" s="22">
        <f>IF(G403="","",G403+7)</f>
        <v/>
      </c>
      <c r="J403" s="22">
        <f>IF(G403="","",G403+14)</f>
        <v/>
      </c>
      <c r="K403" s="19" t="n"/>
      <c r="L403" s="19" t="n"/>
    </row>
    <row r="404">
      <c r="A404" s="19" t="n"/>
      <c r="B404" s="19" t="n"/>
      <c r="C404" s="19" t="n"/>
      <c r="D404" s="19" t="n"/>
      <c r="E404" s="19" t="n"/>
      <c r="F404" s="19" t="n"/>
      <c r="G404" s="21" t="n"/>
      <c r="H404" s="22">
        <f>IF(G404="","",G404+3)</f>
        <v/>
      </c>
      <c r="I404" s="22">
        <f>IF(G404="","",G404+7)</f>
        <v/>
      </c>
      <c r="J404" s="22">
        <f>IF(G404="","",G404+14)</f>
        <v/>
      </c>
      <c r="K404" s="19" t="n"/>
      <c r="L404" s="19" t="n"/>
    </row>
    <row r="405">
      <c r="A405" s="19" t="n"/>
      <c r="B405" s="19" t="n"/>
      <c r="C405" s="19" t="n"/>
      <c r="D405" s="19" t="n"/>
      <c r="E405" s="19" t="n"/>
      <c r="F405" s="19" t="n"/>
      <c r="G405" s="21" t="n"/>
      <c r="H405" s="22">
        <f>IF(G405="","",G405+3)</f>
        <v/>
      </c>
      <c r="I405" s="22">
        <f>IF(G405="","",G405+7)</f>
        <v/>
      </c>
      <c r="J405" s="22">
        <f>IF(G405="","",G405+14)</f>
        <v/>
      </c>
      <c r="K405" s="19" t="n"/>
      <c r="L405" s="19" t="n"/>
    </row>
    <row r="406">
      <c r="A406" s="19" t="n"/>
      <c r="B406" s="19" t="n"/>
      <c r="C406" s="19" t="n"/>
      <c r="D406" s="19" t="n"/>
      <c r="E406" s="19" t="n"/>
      <c r="F406" s="19" t="n"/>
      <c r="G406" s="21" t="n"/>
      <c r="H406" s="22">
        <f>IF(G406="","",G406+3)</f>
        <v/>
      </c>
      <c r="I406" s="22">
        <f>IF(G406="","",G406+7)</f>
        <v/>
      </c>
      <c r="J406" s="22">
        <f>IF(G406="","",G406+14)</f>
        <v/>
      </c>
      <c r="K406" s="19" t="n"/>
      <c r="L406" s="19" t="n"/>
    </row>
    <row r="407">
      <c r="A407" s="19" t="n"/>
      <c r="B407" s="19" t="n"/>
      <c r="C407" s="19" t="n"/>
      <c r="D407" s="19" t="n"/>
      <c r="E407" s="19" t="n"/>
      <c r="F407" s="19" t="n"/>
      <c r="G407" s="21" t="n"/>
      <c r="H407" s="22">
        <f>IF(G407="","",G407+3)</f>
        <v/>
      </c>
      <c r="I407" s="22">
        <f>IF(G407="","",G407+7)</f>
        <v/>
      </c>
      <c r="J407" s="22">
        <f>IF(G407="","",G407+14)</f>
        <v/>
      </c>
      <c r="K407" s="19" t="n"/>
      <c r="L407" s="19" t="n"/>
    </row>
    <row r="408">
      <c r="A408" s="19" t="n"/>
      <c r="B408" s="19" t="n"/>
      <c r="C408" s="19" t="n"/>
      <c r="D408" s="19" t="n"/>
      <c r="E408" s="19" t="n"/>
      <c r="F408" s="19" t="n"/>
      <c r="G408" s="21" t="n"/>
      <c r="H408" s="22">
        <f>IF(G408="","",G408+3)</f>
        <v/>
      </c>
      <c r="I408" s="22">
        <f>IF(G408="","",G408+7)</f>
        <v/>
      </c>
      <c r="J408" s="22">
        <f>IF(G408="","",G408+14)</f>
        <v/>
      </c>
      <c r="K408" s="19" t="n"/>
      <c r="L408" s="19" t="n"/>
    </row>
    <row r="409">
      <c r="A409" s="19" t="n"/>
      <c r="B409" s="19" t="n"/>
      <c r="C409" s="19" t="n"/>
      <c r="D409" s="19" t="n"/>
      <c r="E409" s="19" t="n"/>
      <c r="F409" s="19" t="n"/>
      <c r="G409" s="21" t="n"/>
      <c r="H409" s="22">
        <f>IF(G409="","",G409+3)</f>
        <v/>
      </c>
      <c r="I409" s="22">
        <f>IF(G409="","",G409+7)</f>
        <v/>
      </c>
      <c r="J409" s="22">
        <f>IF(G409="","",G409+14)</f>
        <v/>
      </c>
      <c r="K409" s="19" t="n"/>
      <c r="L409" s="19" t="n"/>
    </row>
    <row r="410">
      <c r="A410" s="19" t="n"/>
      <c r="B410" s="19" t="n"/>
      <c r="C410" s="19" t="n"/>
      <c r="D410" s="19" t="n"/>
      <c r="E410" s="19" t="n"/>
      <c r="F410" s="19" t="n"/>
      <c r="G410" s="21" t="n"/>
      <c r="H410" s="22">
        <f>IF(G410="","",G410+3)</f>
        <v/>
      </c>
      <c r="I410" s="22">
        <f>IF(G410="","",G410+7)</f>
        <v/>
      </c>
      <c r="J410" s="22">
        <f>IF(G410="","",G410+14)</f>
        <v/>
      </c>
      <c r="K410" s="19" t="n"/>
      <c r="L410" s="19" t="n"/>
    </row>
    <row r="411">
      <c r="A411" s="19" t="n"/>
      <c r="B411" s="19" t="n"/>
      <c r="C411" s="19" t="n"/>
      <c r="D411" s="19" t="n"/>
      <c r="E411" s="19" t="n"/>
      <c r="F411" s="19" t="n"/>
      <c r="G411" s="21" t="n"/>
      <c r="H411" s="22">
        <f>IF(G411="","",G411+3)</f>
        <v/>
      </c>
      <c r="I411" s="22">
        <f>IF(G411="","",G411+7)</f>
        <v/>
      </c>
      <c r="J411" s="22">
        <f>IF(G411="","",G411+14)</f>
        <v/>
      </c>
      <c r="K411" s="19" t="n"/>
      <c r="L411" s="19" t="n"/>
    </row>
    <row r="412">
      <c r="A412" s="19" t="n"/>
      <c r="B412" s="19" t="n"/>
      <c r="C412" s="19" t="n"/>
      <c r="D412" s="19" t="n"/>
      <c r="E412" s="19" t="n"/>
      <c r="F412" s="19" t="n"/>
      <c r="G412" s="21" t="n"/>
      <c r="H412" s="22">
        <f>IF(G412="","",G412+3)</f>
        <v/>
      </c>
      <c r="I412" s="22">
        <f>IF(G412="","",G412+7)</f>
        <v/>
      </c>
      <c r="J412" s="22">
        <f>IF(G412="","",G412+14)</f>
        <v/>
      </c>
      <c r="K412" s="19" t="n"/>
      <c r="L412" s="19" t="n"/>
    </row>
    <row r="413">
      <c r="A413" s="19" t="n"/>
      <c r="B413" s="19" t="n"/>
      <c r="C413" s="19" t="n"/>
      <c r="D413" s="19" t="n"/>
      <c r="E413" s="19" t="n"/>
      <c r="F413" s="19" t="n"/>
      <c r="G413" s="21" t="n"/>
      <c r="H413" s="22">
        <f>IF(G413="","",G413+3)</f>
        <v/>
      </c>
      <c r="I413" s="22">
        <f>IF(G413="","",G413+7)</f>
        <v/>
      </c>
      <c r="J413" s="22">
        <f>IF(G413="","",G413+14)</f>
        <v/>
      </c>
      <c r="K413" s="19" t="n"/>
      <c r="L413" s="19" t="n"/>
    </row>
    <row r="414">
      <c r="A414" s="19" t="n"/>
      <c r="B414" s="19" t="n"/>
      <c r="C414" s="19" t="n"/>
      <c r="D414" s="19" t="n"/>
      <c r="E414" s="19" t="n"/>
      <c r="F414" s="19" t="n"/>
      <c r="G414" s="21" t="n"/>
      <c r="H414" s="22">
        <f>IF(G414="","",G414+3)</f>
        <v/>
      </c>
      <c r="I414" s="22">
        <f>IF(G414="","",G414+7)</f>
        <v/>
      </c>
      <c r="J414" s="22">
        <f>IF(G414="","",G414+14)</f>
        <v/>
      </c>
      <c r="K414" s="19" t="n"/>
      <c r="L414" s="19" t="n"/>
    </row>
    <row r="415">
      <c r="A415" s="19" t="n"/>
      <c r="B415" s="19" t="n"/>
      <c r="C415" s="19" t="n"/>
      <c r="D415" s="19" t="n"/>
      <c r="E415" s="19" t="n"/>
      <c r="F415" s="19" t="n"/>
      <c r="G415" s="21" t="n"/>
      <c r="H415" s="22">
        <f>IF(G415="","",G415+3)</f>
        <v/>
      </c>
      <c r="I415" s="22">
        <f>IF(G415="","",G415+7)</f>
        <v/>
      </c>
      <c r="J415" s="22">
        <f>IF(G415="","",G415+14)</f>
        <v/>
      </c>
      <c r="K415" s="19" t="n"/>
      <c r="L415" s="19" t="n"/>
    </row>
    <row r="416">
      <c r="A416" s="19" t="n"/>
      <c r="B416" s="19" t="n"/>
      <c r="C416" s="19" t="n"/>
      <c r="D416" s="19" t="n"/>
      <c r="E416" s="19" t="n"/>
      <c r="F416" s="19" t="n"/>
      <c r="G416" s="21" t="n"/>
      <c r="H416" s="22">
        <f>IF(G416="","",G416+3)</f>
        <v/>
      </c>
      <c r="I416" s="22">
        <f>IF(G416="","",G416+7)</f>
        <v/>
      </c>
      <c r="J416" s="22">
        <f>IF(G416="","",G416+14)</f>
        <v/>
      </c>
      <c r="K416" s="19" t="n"/>
      <c r="L416" s="19" t="n"/>
    </row>
    <row r="417">
      <c r="A417" s="19" t="n"/>
      <c r="B417" s="19" t="n"/>
      <c r="C417" s="19" t="n"/>
      <c r="D417" s="19" t="n"/>
      <c r="E417" s="19" t="n"/>
      <c r="F417" s="19" t="n"/>
      <c r="G417" s="21" t="n"/>
      <c r="H417" s="22">
        <f>IF(G417="","",G417+3)</f>
        <v/>
      </c>
      <c r="I417" s="22">
        <f>IF(G417="","",G417+7)</f>
        <v/>
      </c>
      <c r="J417" s="22">
        <f>IF(G417="","",G417+14)</f>
        <v/>
      </c>
      <c r="K417" s="19" t="n"/>
      <c r="L417" s="19" t="n"/>
    </row>
    <row r="418">
      <c r="A418" s="19" t="n"/>
      <c r="B418" s="19" t="n"/>
      <c r="C418" s="19" t="n"/>
      <c r="D418" s="19" t="n"/>
      <c r="E418" s="19" t="n"/>
      <c r="F418" s="19" t="n"/>
      <c r="G418" s="21" t="n"/>
      <c r="H418" s="22">
        <f>IF(G418="","",G418+3)</f>
        <v/>
      </c>
      <c r="I418" s="22">
        <f>IF(G418="","",G418+7)</f>
        <v/>
      </c>
      <c r="J418" s="22">
        <f>IF(G418="","",G418+14)</f>
        <v/>
      </c>
      <c r="K418" s="19" t="n"/>
      <c r="L418" s="19" t="n"/>
    </row>
    <row r="419">
      <c r="A419" s="19" t="n"/>
      <c r="B419" s="19" t="n"/>
      <c r="C419" s="19" t="n"/>
      <c r="D419" s="19" t="n"/>
      <c r="E419" s="19" t="n"/>
      <c r="F419" s="19" t="n"/>
      <c r="G419" s="21" t="n"/>
      <c r="H419" s="22">
        <f>IF(G419="","",G419+3)</f>
        <v/>
      </c>
      <c r="I419" s="22">
        <f>IF(G419="","",G419+7)</f>
        <v/>
      </c>
      <c r="J419" s="22">
        <f>IF(G419="","",G419+14)</f>
        <v/>
      </c>
      <c r="K419" s="19" t="n"/>
      <c r="L419" s="19" t="n"/>
    </row>
    <row r="420">
      <c r="A420" s="19" t="n"/>
      <c r="B420" s="19" t="n"/>
      <c r="C420" s="19" t="n"/>
      <c r="D420" s="19" t="n"/>
      <c r="E420" s="19" t="n"/>
      <c r="F420" s="19" t="n"/>
      <c r="G420" s="21" t="n"/>
      <c r="H420" s="22">
        <f>IF(G420="","",G420+3)</f>
        <v/>
      </c>
      <c r="I420" s="22">
        <f>IF(G420="","",G420+7)</f>
        <v/>
      </c>
      <c r="J420" s="22">
        <f>IF(G420="","",G420+14)</f>
        <v/>
      </c>
      <c r="K420" s="19" t="n"/>
      <c r="L420" s="19" t="n"/>
    </row>
    <row r="421">
      <c r="A421" s="19" t="n"/>
      <c r="B421" s="19" t="n"/>
      <c r="C421" s="19" t="n"/>
      <c r="D421" s="19" t="n"/>
      <c r="E421" s="19" t="n"/>
      <c r="F421" s="19" t="n"/>
      <c r="G421" s="21" t="n"/>
      <c r="H421" s="22">
        <f>IF(G421="","",G421+3)</f>
        <v/>
      </c>
      <c r="I421" s="22">
        <f>IF(G421="","",G421+7)</f>
        <v/>
      </c>
      <c r="J421" s="22">
        <f>IF(G421="","",G421+14)</f>
        <v/>
      </c>
      <c r="K421" s="19" t="n"/>
      <c r="L421" s="19" t="n"/>
    </row>
    <row r="422">
      <c r="A422" s="19" t="n"/>
      <c r="B422" s="19" t="n"/>
      <c r="C422" s="19" t="n"/>
      <c r="D422" s="19" t="n"/>
      <c r="E422" s="19" t="n"/>
      <c r="F422" s="19" t="n"/>
      <c r="G422" s="21" t="n"/>
      <c r="H422" s="22">
        <f>IF(G422="","",G422+3)</f>
        <v/>
      </c>
      <c r="I422" s="22">
        <f>IF(G422="","",G422+7)</f>
        <v/>
      </c>
      <c r="J422" s="22">
        <f>IF(G422="","",G422+14)</f>
        <v/>
      </c>
      <c r="K422" s="19" t="n"/>
      <c r="L422" s="19" t="n"/>
    </row>
    <row r="423">
      <c r="A423" s="19" t="n"/>
      <c r="B423" s="19" t="n"/>
      <c r="C423" s="19" t="n"/>
      <c r="D423" s="19" t="n"/>
      <c r="E423" s="19" t="n"/>
      <c r="F423" s="19" t="n"/>
      <c r="G423" s="21" t="n"/>
      <c r="H423" s="22">
        <f>IF(G423="","",G423+3)</f>
        <v/>
      </c>
      <c r="I423" s="22">
        <f>IF(G423="","",G423+7)</f>
        <v/>
      </c>
      <c r="J423" s="22">
        <f>IF(G423="","",G423+14)</f>
        <v/>
      </c>
      <c r="K423" s="19" t="n"/>
      <c r="L423" s="19" t="n"/>
    </row>
    <row r="424">
      <c r="A424" s="19" t="n"/>
      <c r="B424" s="19" t="n"/>
      <c r="C424" s="19" t="n"/>
      <c r="D424" s="19" t="n"/>
      <c r="E424" s="19" t="n"/>
      <c r="F424" s="19" t="n"/>
      <c r="G424" s="21" t="n"/>
      <c r="H424" s="22">
        <f>IF(G424="","",G424+3)</f>
        <v/>
      </c>
      <c r="I424" s="22">
        <f>IF(G424="","",G424+7)</f>
        <v/>
      </c>
      <c r="J424" s="22">
        <f>IF(G424="","",G424+14)</f>
        <v/>
      </c>
      <c r="K424" s="19" t="n"/>
      <c r="L424" s="19" t="n"/>
    </row>
    <row r="425">
      <c r="A425" s="19" t="n"/>
      <c r="B425" s="19" t="n"/>
      <c r="C425" s="19" t="n"/>
      <c r="D425" s="19" t="n"/>
      <c r="E425" s="19" t="n"/>
      <c r="F425" s="19" t="n"/>
      <c r="G425" s="21" t="n"/>
      <c r="H425" s="22">
        <f>IF(G425="","",G425+3)</f>
        <v/>
      </c>
      <c r="I425" s="22">
        <f>IF(G425="","",G425+7)</f>
        <v/>
      </c>
      <c r="J425" s="22">
        <f>IF(G425="","",G425+14)</f>
        <v/>
      </c>
      <c r="K425" s="19" t="n"/>
      <c r="L425" s="19" t="n"/>
    </row>
    <row r="426">
      <c r="A426" s="19" t="n"/>
      <c r="B426" s="19" t="n"/>
      <c r="C426" s="19" t="n"/>
      <c r="D426" s="19" t="n"/>
      <c r="E426" s="19" t="n"/>
      <c r="F426" s="19" t="n"/>
      <c r="G426" s="21" t="n"/>
      <c r="H426" s="22">
        <f>IF(G426="","",G426+3)</f>
        <v/>
      </c>
      <c r="I426" s="22">
        <f>IF(G426="","",G426+7)</f>
        <v/>
      </c>
      <c r="J426" s="22">
        <f>IF(G426="","",G426+14)</f>
        <v/>
      </c>
      <c r="K426" s="19" t="n"/>
      <c r="L426" s="19" t="n"/>
    </row>
    <row r="427">
      <c r="A427" s="19" t="n"/>
      <c r="B427" s="19" t="n"/>
      <c r="C427" s="19" t="n"/>
      <c r="D427" s="19" t="n"/>
      <c r="E427" s="19" t="n"/>
      <c r="F427" s="19" t="n"/>
      <c r="G427" s="21" t="n"/>
      <c r="H427" s="22">
        <f>IF(G427="","",G427+3)</f>
        <v/>
      </c>
      <c r="I427" s="22">
        <f>IF(G427="","",G427+7)</f>
        <v/>
      </c>
      <c r="J427" s="22">
        <f>IF(G427="","",G427+14)</f>
        <v/>
      </c>
      <c r="K427" s="19" t="n"/>
      <c r="L427" s="19" t="n"/>
    </row>
    <row r="428">
      <c r="A428" s="19" t="n"/>
      <c r="B428" s="19" t="n"/>
      <c r="C428" s="19" t="n"/>
      <c r="D428" s="19" t="n"/>
      <c r="E428" s="19" t="n"/>
      <c r="F428" s="19" t="n"/>
      <c r="G428" s="21" t="n"/>
      <c r="H428" s="22">
        <f>IF(G428="","",G428+3)</f>
        <v/>
      </c>
      <c r="I428" s="22">
        <f>IF(G428="","",G428+7)</f>
        <v/>
      </c>
      <c r="J428" s="22">
        <f>IF(G428="","",G428+14)</f>
        <v/>
      </c>
      <c r="K428" s="19" t="n"/>
      <c r="L428" s="19" t="n"/>
    </row>
    <row r="429">
      <c r="A429" s="19" t="n"/>
      <c r="B429" s="19" t="n"/>
      <c r="C429" s="19" t="n"/>
      <c r="D429" s="19" t="n"/>
      <c r="E429" s="19" t="n"/>
      <c r="F429" s="19" t="n"/>
      <c r="G429" s="21" t="n"/>
      <c r="H429" s="22">
        <f>IF(G429="","",G429+3)</f>
        <v/>
      </c>
      <c r="I429" s="22">
        <f>IF(G429="","",G429+7)</f>
        <v/>
      </c>
      <c r="J429" s="22">
        <f>IF(G429="","",G429+14)</f>
        <v/>
      </c>
      <c r="K429" s="19" t="n"/>
      <c r="L429" s="19" t="n"/>
    </row>
    <row r="430">
      <c r="A430" s="19" t="n"/>
      <c r="B430" s="19" t="n"/>
      <c r="C430" s="19" t="n"/>
      <c r="D430" s="19" t="n"/>
      <c r="E430" s="19" t="n"/>
      <c r="F430" s="19" t="n"/>
      <c r="G430" s="21" t="n"/>
      <c r="H430" s="22">
        <f>IF(G430="","",G430+3)</f>
        <v/>
      </c>
      <c r="I430" s="22">
        <f>IF(G430="","",G430+7)</f>
        <v/>
      </c>
      <c r="J430" s="22">
        <f>IF(G430="","",G430+14)</f>
        <v/>
      </c>
      <c r="K430" s="19" t="n"/>
      <c r="L430" s="19" t="n"/>
    </row>
    <row r="431">
      <c r="A431" s="19" t="n"/>
      <c r="B431" s="19" t="n"/>
      <c r="C431" s="19" t="n"/>
      <c r="D431" s="19" t="n"/>
      <c r="E431" s="19" t="n"/>
      <c r="F431" s="19" t="n"/>
      <c r="G431" s="21" t="n"/>
      <c r="H431" s="22">
        <f>IF(G431="","",G431+3)</f>
        <v/>
      </c>
      <c r="I431" s="22">
        <f>IF(G431="","",G431+7)</f>
        <v/>
      </c>
      <c r="J431" s="22">
        <f>IF(G431="","",G431+14)</f>
        <v/>
      </c>
      <c r="K431" s="19" t="n"/>
      <c r="L431" s="19" t="n"/>
    </row>
    <row r="432">
      <c r="A432" s="19" t="n"/>
      <c r="B432" s="19" t="n"/>
      <c r="C432" s="19" t="n"/>
      <c r="D432" s="19" t="n"/>
      <c r="E432" s="19" t="n"/>
      <c r="F432" s="19" t="n"/>
      <c r="G432" s="21" t="n"/>
      <c r="H432" s="22">
        <f>IF(G432="","",G432+3)</f>
        <v/>
      </c>
      <c r="I432" s="22">
        <f>IF(G432="","",G432+7)</f>
        <v/>
      </c>
      <c r="J432" s="22">
        <f>IF(G432="","",G432+14)</f>
        <v/>
      </c>
      <c r="K432" s="19" t="n"/>
      <c r="L432" s="19" t="n"/>
    </row>
    <row r="433">
      <c r="A433" s="19" t="n"/>
      <c r="B433" s="19" t="n"/>
      <c r="C433" s="19" t="n"/>
      <c r="D433" s="19" t="n"/>
      <c r="E433" s="19" t="n"/>
      <c r="F433" s="19" t="n"/>
      <c r="G433" s="21" t="n"/>
      <c r="H433" s="22">
        <f>IF(G433="","",G433+3)</f>
        <v/>
      </c>
      <c r="I433" s="22">
        <f>IF(G433="","",G433+7)</f>
        <v/>
      </c>
      <c r="J433" s="22">
        <f>IF(G433="","",G433+14)</f>
        <v/>
      </c>
      <c r="K433" s="19" t="n"/>
      <c r="L433" s="19" t="n"/>
    </row>
    <row r="434">
      <c r="A434" s="19" t="n"/>
      <c r="B434" s="19" t="n"/>
      <c r="C434" s="19" t="n"/>
      <c r="D434" s="19" t="n"/>
      <c r="E434" s="19" t="n"/>
      <c r="F434" s="19" t="n"/>
      <c r="G434" s="21" t="n"/>
      <c r="H434" s="22">
        <f>IF(G434="","",G434+3)</f>
        <v/>
      </c>
      <c r="I434" s="22">
        <f>IF(G434="","",G434+7)</f>
        <v/>
      </c>
      <c r="J434" s="22">
        <f>IF(G434="","",G434+14)</f>
        <v/>
      </c>
      <c r="K434" s="19" t="n"/>
      <c r="L434" s="19" t="n"/>
    </row>
    <row r="435">
      <c r="A435" s="19" t="n"/>
      <c r="B435" s="19" t="n"/>
      <c r="C435" s="19" t="n"/>
      <c r="D435" s="19" t="n"/>
      <c r="E435" s="19" t="n"/>
      <c r="F435" s="19" t="n"/>
      <c r="G435" s="21" t="n"/>
      <c r="H435" s="22">
        <f>IF(G435="","",G435+3)</f>
        <v/>
      </c>
      <c r="I435" s="22">
        <f>IF(G435="","",G435+7)</f>
        <v/>
      </c>
      <c r="J435" s="22">
        <f>IF(G435="","",G435+14)</f>
        <v/>
      </c>
      <c r="K435" s="19" t="n"/>
      <c r="L435" s="19" t="n"/>
    </row>
    <row r="436">
      <c r="A436" s="19" t="n"/>
      <c r="B436" s="19" t="n"/>
      <c r="C436" s="19" t="n"/>
      <c r="D436" s="19" t="n"/>
      <c r="E436" s="19" t="n"/>
      <c r="F436" s="19" t="n"/>
      <c r="G436" s="21" t="n"/>
      <c r="H436" s="22">
        <f>IF(G436="","",G436+3)</f>
        <v/>
      </c>
      <c r="I436" s="22">
        <f>IF(G436="","",G436+7)</f>
        <v/>
      </c>
      <c r="J436" s="22">
        <f>IF(G436="","",G436+14)</f>
        <v/>
      </c>
      <c r="K436" s="19" t="n"/>
      <c r="L436" s="19" t="n"/>
    </row>
    <row r="437">
      <c r="A437" s="19" t="n"/>
      <c r="B437" s="19" t="n"/>
      <c r="C437" s="19" t="n"/>
      <c r="D437" s="19" t="n"/>
      <c r="E437" s="19" t="n"/>
      <c r="F437" s="19" t="n"/>
      <c r="G437" s="21" t="n"/>
      <c r="H437" s="22">
        <f>IF(G437="","",G437+3)</f>
        <v/>
      </c>
      <c r="I437" s="22">
        <f>IF(G437="","",G437+7)</f>
        <v/>
      </c>
      <c r="J437" s="22">
        <f>IF(G437="","",G437+14)</f>
        <v/>
      </c>
      <c r="K437" s="19" t="n"/>
      <c r="L437" s="19" t="n"/>
    </row>
    <row r="438">
      <c r="A438" s="19" t="n"/>
      <c r="B438" s="19" t="n"/>
      <c r="C438" s="19" t="n"/>
      <c r="D438" s="19" t="n"/>
      <c r="E438" s="19" t="n"/>
      <c r="F438" s="19" t="n"/>
      <c r="G438" s="21" t="n"/>
      <c r="H438" s="22">
        <f>IF(G438="","",G438+3)</f>
        <v/>
      </c>
      <c r="I438" s="22">
        <f>IF(G438="","",G438+7)</f>
        <v/>
      </c>
      <c r="J438" s="22">
        <f>IF(G438="","",G438+14)</f>
        <v/>
      </c>
      <c r="K438" s="19" t="n"/>
      <c r="L438" s="19" t="n"/>
    </row>
    <row r="439">
      <c r="A439" s="19" t="n"/>
      <c r="B439" s="19" t="n"/>
      <c r="C439" s="19" t="n"/>
      <c r="D439" s="19" t="n"/>
      <c r="E439" s="19" t="n"/>
      <c r="F439" s="19" t="n"/>
      <c r="G439" s="21" t="n"/>
      <c r="H439" s="22">
        <f>IF(G439="","",G439+3)</f>
        <v/>
      </c>
      <c r="I439" s="22">
        <f>IF(G439="","",G439+7)</f>
        <v/>
      </c>
      <c r="J439" s="22">
        <f>IF(G439="","",G439+14)</f>
        <v/>
      </c>
      <c r="K439" s="19" t="n"/>
      <c r="L439" s="19" t="n"/>
    </row>
    <row r="440">
      <c r="A440" s="19" t="n"/>
      <c r="B440" s="19" t="n"/>
      <c r="C440" s="19" t="n"/>
      <c r="D440" s="19" t="n"/>
      <c r="E440" s="19" t="n"/>
      <c r="F440" s="19" t="n"/>
      <c r="G440" s="21" t="n"/>
      <c r="H440" s="22">
        <f>IF(G440="","",G440+3)</f>
        <v/>
      </c>
      <c r="I440" s="22">
        <f>IF(G440="","",G440+7)</f>
        <v/>
      </c>
      <c r="J440" s="22">
        <f>IF(G440="","",G440+14)</f>
        <v/>
      </c>
      <c r="K440" s="19" t="n"/>
      <c r="L440" s="19" t="n"/>
    </row>
    <row r="441">
      <c r="A441" s="19" t="n"/>
      <c r="B441" s="19" t="n"/>
      <c r="C441" s="19" t="n"/>
      <c r="D441" s="19" t="n"/>
      <c r="E441" s="19" t="n"/>
      <c r="F441" s="19" t="n"/>
      <c r="G441" s="21" t="n"/>
      <c r="H441" s="22">
        <f>IF(G441="","",G441+3)</f>
        <v/>
      </c>
      <c r="I441" s="22">
        <f>IF(G441="","",G441+7)</f>
        <v/>
      </c>
      <c r="J441" s="22">
        <f>IF(G441="","",G441+14)</f>
        <v/>
      </c>
      <c r="K441" s="19" t="n"/>
      <c r="L441" s="19" t="n"/>
    </row>
    <row r="442">
      <c r="A442" s="19" t="n"/>
      <c r="B442" s="19" t="n"/>
      <c r="C442" s="19" t="n"/>
      <c r="D442" s="19" t="n"/>
      <c r="E442" s="19" t="n"/>
      <c r="F442" s="19" t="n"/>
      <c r="G442" s="21" t="n"/>
      <c r="H442" s="22">
        <f>IF(G442="","",G442+3)</f>
        <v/>
      </c>
      <c r="I442" s="22">
        <f>IF(G442="","",G442+7)</f>
        <v/>
      </c>
      <c r="J442" s="22">
        <f>IF(G442="","",G442+14)</f>
        <v/>
      </c>
      <c r="K442" s="19" t="n"/>
      <c r="L442" s="19" t="n"/>
    </row>
    <row r="443">
      <c r="A443" s="19" t="n"/>
      <c r="B443" s="19" t="n"/>
      <c r="C443" s="19" t="n"/>
      <c r="D443" s="19" t="n"/>
      <c r="E443" s="19" t="n"/>
      <c r="F443" s="19" t="n"/>
      <c r="G443" s="21" t="n"/>
      <c r="H443" s="22">
        <f>IF(G443="","",G443+3)</f>
        <v/>
      </c>
      <c r="I443" s="22">
        <f>IF(G443="","",G443+7)</f>
        <v/>
      </c>
      <c r="J443" s="22">
        <f>IF(G443="","",G443+14)</f>
        <v/>
      </c>
      <c r="K443" s="19" t="n"/>
      <c r="L443" s="19" t="n"/>
    </row>
    <row r="444">
      <c r="A444" s="19" t="n"/>
      <c r="B444" s="19" t="n"/>
      <c r="C444" s="19" t="n"/>
      <c r="D444" s="19" t="n"/>
      <c r="E444" s="19" t="n"/>
      <c r="F444" s="19" t="n"/>
      <c r="G444" s="21" t="n"/>
      <c r="H444" s="22">
        <f>IF(G444="","",G444+3)</f>
        <v/>
      </c>
      <c r="I444" s="22">
        <f>IF(G444="","",G444+7)</f>
        <v/>
      </c>
      <c r="J444" s="22">
        <f>IF(G444="","",G444+14)</f>
        <v/>
      </c>
      <c r="K444" s="19" t="n"/>
      <c r="L444" s="19" t="n"/>
    </row>
    <row r="445">
      <c r="A445" s="19" t="n"/>
      <c r="B445" s="19" t="n"/>
      <c r="C445" s="19" t="n"/>
      <c r="D445" s="19" t="n"/>
      <c r="E445" s="19" t="n"/>
      <c r="F445" s="19" t="n"/>
      <c r="G445" s="21" t="n"/>
      <c r="H445" s="22">
        <f>IF(G445="","",G445+3)</f>
        <v/>
      </c>
      <c r="I445" s="22">
        <f>IF(G445="","",G445+7)</f>
        <v/>
      </c>
      <c r="J445" s="22">
        <f>IF(G445="","",G445+14)</f>
        <v/>
      </c>
      <c r="K445" s="19" t="n"/>
      <c r="L445" s="19" t="n"/>
    </row>
    <row r="446">
      <c r="A446" s="19" t="n"/>
      <c r="B446" s="19" t="n"/>
      <c r="C446" s="19" t="n"/>
      <c r="D446" s="19" t="n"/>
      <c r="E446" s="19" t="n"/>
      <c r="F446" s="19" t="n"/>
      <c r="G446" s="21" t="n"/>
      <c r="H446" s="22">
        <f>IF(G446="","",G446+3)</f>
        <v/>
      </c>
      <c r="I446" s="22">
        <f>IF(G446="","",G446+7)</f>
        <v/>
      </c>
      <c r="J446" s="22">
        <f>IF(G446="","",G446+14)</f>
        <v/>
      </c>
      <c r="K446" s="19" t="n"/>
      <c r="L446" s="19" t="n"/>
    </row>
    <row r="447">
      <c r="A447" s="19" t="n"/>
      <c r="B447" s="19" t="n"/>
      <c r="C447" s="19" t="n"/>
      <c r="D447" s="19" t="n"/>
      <c r="E447" s="19" t="n"/>
      <c r="F447" s="19" t="n"/>
      <c r="G447" s="21" t="n"/>
      <c r="H447" s="22">
        <f>IF(G447="","",G447+3)</f>
        <v/>
      </c>
      <c r="I447" s="22">
        <f>IF(G447="","",G447+7)</f>
        <v/>
      </c>
      <c r="J447" s="22">
        <f>IF(G447="","",G447+14)</f>
        <v/>
      </c>
      <c r="K447" s="19" t="n"/>
      <c r="L447" s="19" t="n"/>
    </row>
    <row r="448">
      <c r="A448" s="19" t="n"/>
      <c r="B448" s="19" t="n"/>
      <c r="C448" s="19" t="n"/>
      <c r="D448" s="19" t="n"/>
      <c r="E448" s="19" t="n"/>
      <c r="F448" s="19" t="n"/>
      <c r="G448" s="21" t="n"/>
      <c r="H448" s="22">
        <f>IF(G448="","",G448+3)</f>
        <v/>
      </c>
      <c r="I448" s="22">
        <f>IF(G448="","",G448+7)</f>
        <v/>
      </c>
      <c r="J448" s="22">
        <f>IF(G448="","",G448+14)</f>
        <v/>
      </c>
      <c r="K448" s="19" t="n"/>
      <c r="L448" s="19" t="n"/>
    </row>
    <row r="449">
      <c r="A449" s="19" t="n"/>
      <c r="B449" s="19" t="n"/>
      <c r="C449" s="19" t="n"/>
      <c r="D449" s="19" t="n"/>
      <c r="E449" s="19" t="n"/>
      <c r="F449" s="19" t="n"/>
      <c r="G449" s="21" t="n"/>
      <c r="H449" s="22">
        <f>IF(G449="","",G449+3)</f>
        <v/>
      </c>
      <c r="I449" s="22">
        <f>IF(G449="","",G449+7)</f>
        <v/>
      </c>
      <c r="J449" s="22">
        <f>IF(G449="","",G449+14)</f>
        <v/>
      </c>
      <c r="K449" s="19" t="n"/>
      <c r="L449" s="19" t="n"/>
    </row>
    <row r="450">
      <c r="A450" s="19" t="n"/>
      <c r="B450" s="19" t="n"/>
      <c r="C450" s="19" t="n"/>
      <c r="D450" s="19" t="n"/>
      <c r="E450" s="19" t="n"/>
      <c r="F450" s="19" t="n"/>
      <c r="G450" s="21" t="n"/>
      <c r="H450" s="22">
        <f>IF(G450="","",G450+3)</f>
        <v/>
      </c>
      <c r="I450" s="22">
        <f>IF(G450="","",G450+7)</f>
        <v/>
      </c>
      <c r="J450" s="22">
        <f>IF(G450="","",G450+14)</f>
        <v/>
      </c>
      <c r="K450" s="19" t="n"/>
      <c r="L450" s="19" t="n"/>
    </row>
    <row r="451">
      <c r="A451" s="19" t="n"/>
      <c r="B451" s="19" t="n"/>
      <c r="C451" s="19" t="n"/>
      <c r="D451" s="19" t="n"/>
      <c r="E451" s="19" t="n"/>
      <c r="F451" s="19" t="n"/>
      <c r="G451" s="21" t="n"/>
      <c r="H451" s="22">
        <f>IF(G451="","",G451+3)</f>
        <v/>
      </c>
      <c r="I451" s="22">
        <f>IF(G451="","",G451+7)</f>
        <v/>
      </c>
      <c r="J451" s="22">
        <f>IF(G451="","",G451+14)</f>
        <v/>
      </c>
      <c r="K451" s="19" t="n"/>
      <c r="L451" s="19" t="n"/>
    </row>
    <row r="452">
      <c r="A452" s="19" t="n"/>
      <c r="B452" s="19" t="n"/>
      <c r="C452" s="19" t="n"/>
      <c r="D452" s="19" t="n"/>
      <c r="E452" s="19" t="n"/>
      <c r="F452" s="19" t="n"/>
      <c r="G452" s="21" t="n"/>
      <c r="H452" s="22">
        <f>IF(G452="","",G452+3)</f>
        <v/>
      </c>
      <c r="I452" s="22">
        <f>IF(G452="","",G452+7)</f>
        <v/>
      </c>
      <c r="J452" s="22">
        <f>IF(G452="","",G452+14)</f>
        <v/>
      </c>
      <c r="K452" s="19" t="n"/>
      <c r="L452" s="19" t="n"/>
    </row>
    <row r="453">
      <c r="A453" s="19" t="n"/>
      <c r="B453" s="19" t="n"/>
      <c r="C453" s="19" t="n"/>
      <c r="D453" s="19" t="n"/>
      <c r="E453" s="19" t="n"/>
      <c r="F453" s="19" t="n"/>
      <c r="G453" s="21" t="n"/>
      <c r="H453" s="22">
        <f>IF(G453="","",G453+3)</f>
        <v/>
      </c>
      <c r="I453" s="22">
        <f>IF(G453="","",G453+7)</f>
        <v/>
      </c>
      <c r="J453" s="22">
        <f>IF(G453="","",G453+14)</f>
        <v/>
      </c>
      <c r="K453" s="19" t="n"/>
      <c r="L453" s="19" t="n"/>
    </row>
    <row r="454">
      <c r="A454" s="19" t="n"/>
      <c r="B454" s="19" t="n"/>
      <c r="C454" s="19" t="n"/>
      <c r="D454" s="19" t="n"/>
      <c r="E454" s="19" t="n"/>
      <c r="F454" s="19" t="n"/>
      <c r="G454" s="21" t="n"/>
      <c r="H454" s="22">
        <f>IF(G454="","",G454+3)</f>
        <v/>
      </c>
      <c r="I454" s="22">
        <f>IF(G454="","",G454+7)</f>
        <v/>
      </c>
      <c r="J454" s="22">
        <f>IF(G454="","",G454+14)</f>
        <v/>
      </c>
      <c r="K454" s="19" t="n"/>
      <c r="L454" s="19" t="n"/>
    </row>
    <row r="455">
      <c r="A455" s="19" t="n"/>
      <c r="B455" s="19" t="n"/>
      <c r="C455" s="19" t="n"/>
      <c r="D455" s="19" t="n"/>
      <c r="E455" s="19" t="n"/>
      <c r="F455" s="19" t="n"/>
      <c r="G455" s="21" t="n"/>
      <c r="H455" s="22">
        <f>IF(G455="","",G455+3)</f>
        <v/>
      </c>
      <c r="I455" s="22">
        <f>IF(G455="","",G455+7)</f>
        <v/>
      </c>
      <c r="J455" s="22">
        <f>IF(G455="","",G455+14)</f>
        <v/>
      </c>
      <c r="K455" s="19" t="n"/>
      <c r="L455" s="19" t="n"/>
    </row>
    <row r="456">
      <c r="A456" s="19" t="n"/>
      <c r="B456" s="19" t="n"/>
      <c r="C456" s="19" t="n"/>
      <c r="D456" s="19" t="n"/>
      <c r="E456" s="19" t="n"/>
      <c r="F456" s="19" t="n"/>
      <c r="G456" s="21" t="n"/>
      <c r="H456" s="22">
        <f>IF(G456="","",G456+3)</f>
        <v/>
      </c>
      <c r="I456" s="22">
        <f>IF(G456="","",G456+7)</f>
        <v/>
      </c>
      <c r="J456" s="22">
        <f>IF(G456="","",G456+14)</f>
        <v/>
      </c>
      <c r="K456" s="19" t="n"/>
      <c r="L456" s="19" t="n"/>
    </row>
    <row r="457">
      <c r="A457" s="19" t="n"/>
      <c r="B457" s="19" t="n"/>
      <c r="C457" s="19" t="n"/>
      <c r="D457" s="19" t="n"/>
      <c r="E457" s="19" t="n"/>
      <c r="F457" s="19" t="n"/>
      <c r="G457" s="21" t="n"/>
      <c r="H457" s="22">
        <f>IF(G457="","",G457+3)</f>
        <v/>
      </c>
      <c r="I457" s="22">
        <f>IF(G457="","",G457+7)</f>
        <v/>
      </c>
      <c r="J457" s="22">
        <f>IF(G457="","",G457+14)</f>
        <v/>
      </c>
      <c r="K457" s="19" t="n"/>
      <c r="L457" s="19" t="n"/>
    </row>
    <row r="458">
      <c r="A458" s="19" t="n"/>
      <c r="B458" s="19" t="n"/>
      <c r="C458" s="19" t="n"/>
      <c r="D458" s="19" t="n"/>
      <c r="E458" s="19" t="n"/>
      <c r="F458" s="19" t="n"/>
      <c r="G458" s="21" t="n"/>
      <c r="H458" s="22">
        <f>IF(G458="","",G458+3)</f>
        <v/>
      </c>
      <c r="I458" s="22">
        <f>IF(G458="","",G458+7)</f>
        <v/>
      </c>
      <c r="J458" s="22">
        <f>IF(G458="","",G458+14)</f>
        <v/>
      </c>
      <c r="K458" s="19" t="n"/>
      <c r="L458" s="19" t="n"/>
    </row>
    <row r="459">
      <c r="A459" s="19" t="n"/>
      <c r="B459" s="19" t="n"/>
      <c r="C459" s="19" t="n"/>
      <c r="D459" s="19" t="n"/>
      <c r="E459" s="19" t="n"/>
      <c r="F459" s="19" t="n"/>
      <c r="G459" s="21" t="n"/>
      <c r="H459" s="22">
        <f>IF(G459="","",G459+3)</f>
        <v/>
      </c>
      <c r="I459" s="22">
        <f>IF(G459="","",G459+7)</f>
        <v/>
      </c>
      <c r="J459" s="22">
        <f>IF(G459="","",G459+14)</f>
        <v/>
      </c>
      <c r="K459" s="19" t="n"/>
      <c r="L459" s="19" t="n"/>
    </row>
    <row r="460">
      <c r="A460" s="19" t="n"/>
      <c r="B460" s="19" t="n"/>
      <c r="C460" s="19" t="n"/>
      <c r="D460" s="19" t="n"/>
      <c r="E460" s="19" t="n"/>
      <c r="F460" s="19" t="n"/>
      <c r="G460" s="21" t="n"/>
      <c r="H460" s="22">
        <f>IF(G460="","",G460+3)</f>
        <v/>
      </c>
      <c r="I460" s="22">
        <f>IF(G460="","",G460+7)</f>
        <v/>
      </c>
      <c r="J460" s="22">
        <f>IF(G460="","",G460+14)</f>
        <v/>
      </c>
      <c r="K460" s="19" t="n"/>
      <c r="L460" s="19" t="n"/>
    </row>
    <row r="461">
      <c r="A461" s="19" t="n"/>
      <c r="B461" s="19" t="n"/>
      <c r="C461" s="19" t="n"/>
      <c r="D461" s="19" t="n"/>
      <c r="E461" s="19" t="n"/>
      <c r="F461" s="19" t="n"/>
      <c r="G461" s="21" t="n"/>
      <c r="H461" s="22">
        <f>IF(G461="","",G461+3)</f>
        <v/>
      </c>
      <c r="I461" s="22">
        <f>IF(G461="","",G461+7)</f>
        <v/>
      </c>
      <c r="J461" s="22">
        <f>IF(G461="","",G461+14)</f>
        <v/>
      </c>
      <c r="K461" s="19" t="n"/>
      <c r="L461" s="19" t="n"/>
    </row>
    <row r="462">
      <c r="A462" s="19" t="n"/>
      <c r="B462" s="19" t="n"/>
      <c r="C462" s="19" t="n"/>
      <c r="D462" s="19" t="n"/>
      <c r="E462" s="19" t="n"/>
      <c r="F462" s="19" t="n"/>
      <c r="G462" s="21" t="n"/>
      <c r="H462" s="22">
        <f>IF(G462="","",G462+3)</f>
        <v/>
      </c>
      <c r="I462" s="22">
        <f>IF(G462="","",G462+7)</f>
        <v/>
      </c>
      <c r="J462" s="22">
        <f>IF(G462="","",G462+14)</f>
        <v/>
      </c>
      <c r="K462" s="19" t="n"/>
      <c r="L462" s="19" t="n"/>
    </row>
    <row r="463">
      <c r="A463" s="19" t="n"/>
      <c r="B463" s="19" t="n"/>
      <c r="C463" s="19" t="n"/>
      <c r="D463" s="19" t="n"/>
      <c r="E463" s="19" t="n"/>
      <c r="F463" s="19" t="n"/>
      <c r="G463" s="21" t="n"/>
      <c r="H463" s="22">
        <f>IF(G463="","",G463+3)</f>
        <v/>
      </c>
      <c r="I463" s="22">
        <f>IF(G463="","",G463+7)</f>
        <v/>
      </c>
      <c r="J463" s="22">
        <f>IF(G463="","",G463+14)</f>
        <v/>
      </c>
      <c r="K463" s="19" t="n"/>
      <c r="L463" s="19" t="n"/>
    </row>
    <row r="464">
      <c r="A464" s="19" t="n"/>
      <c r="B464" s="19" t="n"/>
      <c r="C464" s="19" t="n"/>
      <c r="D464" s="19" t="n"/>
      <c r="E464" s="19" t="n"/>
      <c r="F464" s="19" t="n"/>
      <c r="G464" s="21" t="n"/>
      <c r="H464" s="22">
        <f>IF(G464="","",G464+3)</f>
        <v/>
      </c>
      <c r="I464" s="22">
        <f>IF(G464="","",G464+7)</f>
        <v/>
      </c>
      <c r="J464" s="22">
        <f>IF(G464="","",G464+14)</f>
        <v/>
      </c>
      <c r="K464" s="19" t="n"/>
      <c r="L464" s="19" t="n"/>
    </row>
    <row r="465">
      <c r="A465" s="19" t="n"/>
      <c r="B465" s="19" t="n"/>
      <c r="C465" s="19" t="n"/>
      <c r="D465" s="19" t="n"/>
      <c r="E465" s="19" t="n"/>
      <c r="F465" s="19" t="n"/>
      <c r="G465" s="21" t="n"/>
      <c r="H465" s="22">
        <f>IF(G465="","",G465+3)</f>
        <v/>
      </c>
      <c r="I465" s="22">
        <f>IF(G465="","",G465+7)</f>
        <v/>
      </c>
      <c r="J465" s="22">
        <f>IF(G465="","",G465+14)</f>
        <v/>
      </c>
      <c r="K465" s="19" t="n"/>
      <c r="L465" s="19" t="n"/>
    </row>
    <row r="466">
      <c r="A466" s="19" t="n"/>
      <c r="B466" s="19" t="n"/>
      <c r="C466" s="19" t="n"/>
      <c r="D466" s="19" t="n"/>
      <c r="E466" s="19" t="n"/>
      <c r="F466" s="19" t="n"/>
      <c r="G466" s="21" t="n"/>
      <c r="H466" s="22">
        <f>IF(G466="","",G466+3)</f>
        <v/>
      </c>
      <c r="I466" s="22">
        <f>IF(G466="","",G466+7)</f>
        <v/>
      </c>
      <c r="J466" s="22">
        <f>IF(G466="","",G466+14)</f>
        <v/>
      </c>
      <c r="K466" s="19" t="n"/>
      <c r="L466" s="19" t="n"/>
    </row>
    <row r="467">
      <c r="A467" s="19" t="n"/>
      <c r="B467" s="19" t="n"/>
      <c r="C467" s="19" t="n"/>
      <c r="D467" s="19" t="n"/>
      <c r="E467" s="19" t="n"/>
      <c r="F467" s="19" t="n"/>
      <c r="G467" s="21" t="n"/>
      <c r="H467" s="22">
        <f>IF(G467="","",G467+3)</f>
        <v/>
      </c>
      <c r="I467" s="22">
        <f>IF(G467="","",G467+7)</f>
        <v/>
      </c>
      <c r="J467" s="22">
        <f>IF(G467="","",G467+14)</f>
        <v/>
      </c>
      <c r="K467" s="19" t="n"/>
      <c r="L467" s="19" t="n"/>
    </row>
    <row r="468">
      <c r="A468" s="19" t="n"/>
      <c r="B468" s="19" t="n"/>
      <c r="C468" s="19" t="n"/>
      <c r="D468" s="19" t="n"/>
      <c r="E468" s="19" t="n"/>
      <c r="F468" s="19" t="n"/>
      <c r="G468" s="21" t="n"/>
      <c r="H468" s="22">
        <f>IF(G468="","",G468+3)</f>
        <v/>
      </c>
      <c r="I468" s="22">
        <f>IF(G468="","",G468+7)</f>
        <v/>
      </c>
      <c r="J468" s="22">
        <f>IF(G468="","",G468+14)</f>
        <v/>
      </c>
      <c r="K468" s="19" t="n"/>
      <c r="L468" s="19" t="n"/>
    </row>
    <row r="469">
      <c r="A469" s="19" t="n"/>
      <c r="B469" s="19" t="n"/>
      <c r="C469" s="19" t="n"/>
      <c r="D469" s="19" t="n"/>
      <c r="E469" s="19" t="n"/>
      <c r="F469" s="19" t="n"/>
      <c r="G469" s="21" t="n"/>
      <c r="H469" s="22">
        <f>IF(G469="","",G469+3)</f>
        <v/>
      </c>
      <c r="I469" s="22">
        <f>IF(G469="","",G469+7)</f>
        <v/>
      </c>
      <c r="J469" s="22">
        <f>IF(G469="","",G469+14)</f>
        <v/>
      </c>
      <c r="K469" s="19" t="n"/>
      <c r="L469" s="19" t="n"/>
    </row>
    <row r="470">
      <c r="A470" s="19" t="n"/>
      <c r="B470" s="19" t="n"/>
      <c r="C470" s="19" t="n"/>
      <c r="D470" s="19" t="n"/>
      <c r="E470" s="19" t="n"/>
      <c r="F470" s="19" t="n"/>
      <c r="G470" s="21" t="n"/>
      <c r="H470" s="22">
        <f>IF(G470="","",G470+3)</f>
        <v/>
      </c>
      <c r="I470" s="22">
        <f>IF(G470="","",G470+7)</f>
        <v/>
      </c>
      <c r="J470" s="22">
        <f>IF(G470="","",G470+14)</f>
        <v/>
      </c>
      <c r="K470" s="19" t="n"/>
      <c r="L470" s="19" t="n"/>
    </row>
    <row r="471">
      <c r="A471" s="19" t="n"/>
      <c r="B471" s="19" t="n"/>
      <c r="C471" s="19" t="n"/>
      <c r="D471" s="19" t="n"/>
      <c r="E471" s="19" t="n"/>
      <c r="F471" s="19" t="n"/>
      <c r="G471" s="21" t="n"/>
      <c r="H471" s="22">
        <f>IF(G471="","",G471+3)</f>
        <v/>
      </c>
      <c r="I471" s="22">
        <f>IF(G471="","",G471+7)</f>
        <v/>
      </c>
      <c r="J471" s="22">
        <f>IF(G471="","",G471+14)</f>
        <v/>
      </c>
      <c r="K471" s="19" t="n"/>
      <c r="L471" s="19" t="n"/>
    </row>
    <row r="472">
      <c r="A472" s="19" t="n"/>
      <c r="B472" s="19" t="n"/>
      <c r="C472" s="19" t="n"/>
      <c r="D472" s="19" t="n"/>
      <c r="E472" s="19" t="n"/>
      <c r="F472" s="19" t="n"/>
      <c r="G472" s="21" t="n"/>
      <c r="H472" s="22">
        <f>IF(G472="","",G472+3)</f>
        <v/>
      </c>
      <c r="I472" s="22">
        <f>IF(G472="","",G472+7)</f>
        <v/>
      </c>
      <c r="J472" s="22">
        <f>IF(G472="","",G472+14)</f>
        <v/>
      </c>
      <c r="K472" s="19" t="n"/>
      <c r="L472" s="19" t="n"/>
    </row>
    <row r="473">
      <c r="A473" s="19" t="n"/>
      <c r="B473" s="19" t="n"/>
      <c r="C473" s="19" t="n"/>
      <c r="D473" s="19" t="n"/>
      <c r="E473" s="19" t="n"/>
      <c r="F473" s="19" t="n"/>
      <c r="G473" s="21" t="n"/>
      <c r="H473" s="22">
        <f>IF(G473="","",G473+3)</f>
        <v/>
      </c>
      <c r="I473" s="22">
        <f>IF(G473="","",G473+7)</f>
        <v/>
      </c>
      <c r="J473" s="22">
        <f>IF(G473="","",G473+14)</f>
        <v/>
      </c>
      <c r="K473" s="19" t="n"/>
      <c r="L473" s="19" t="n"/>
    </row>
    <row r="474">
      <c r="A474" s="19" t="n"/>
      <c r="B474" s="19" t="n"/>
      <c r="C474" s="19" t="n"/>
      <c r="D474" s="19" t="n"/>
      <c r="E474" s="19" t="n"/>
      <c r="F474" s="19" t="n"/>
      <c r="G474" s="21" t="n"/>
      <c r="H474" s="22">
        <f>IF(G474="","",G474+3)</f>
        <v/>
      </c>
      <c r="I474" s="22">
        <f>IF(G474="","",G474+7)</f>
        <v/>
      </c>
      <c r="J474" s="22">
        <f>IF(G474="","",G474+14)</f>
        <v/>
      </c>
      <c r="K474" s="19" t="n"/>
      <c r="L474" s="19" t="n"/>
    </row>
    <row r="475">
      <c r="A475" s="19" t="n"/>
      <c r="B475" s="19" t="n"/>
      <c r="C475" s="19" t="n"/>
      <c r="D475" s="19" t="n"/>
      <c r="E475" s="19" t="n"/>
      <c r="F475" s="19" t="n"/>
      <c r="G475" s="21" t="n"/>
      <c r="H475" s="22">
        <f>IF(G475="","",G475+3)</f>
        <v/>
      </c>
      <c r="I475" s="22">
        <f>IF(G475="","",G475+7)</f>
        <v/>
      </c>
      <c r="J475" s="22">
        <f>IF(G475="","",G475+14)</f>
        <v/>
      </c>
      <c r="K475" s="19" t="n"/>
      <c r="L475" s="19" t="n"/>
    </row>
    <row r="476">
      <c r="A476" s="19" t="n"/>
      <c r="B476" s="19" t="n"/>
      <c r="C476" s="19" t="n"/>
      <c r="D476" s="19" t="n"/>
      <c r="E476" s="19" t="n"/>
      <c r="F476" s="19" t="n"/>
      <c r="G476" s="21" t="n"/>
      <c r="H476" s="22">
        <f>IF(G476="","",G476+3)</f>
        <v/>
      </c>
      <c r="I476" s="22">
        <f>IF(G476="","",G476+7)</f>
        <v/>
      </c>
      <c r="J476" s="22">
        <f>IF(G476="","",G476+14)</f>
        <v/>
      </c>
      <c r="K476" s="19" t="n"/>
      <c r="L476" s="19" t="n"/>
    </row>
    <row r="477">
      <c r="A477" s="19" t="n"/>
      <c r="B477" s="19" t="n"/>
      <c r="C477" s="19" t="n"/>
      <c r="D477" s="19" t="n"/>
      <c r="E477" s="19" t="n"/>
      <c r="F477" s="19" t="n"/>
      <c r="G477" s="21" t="n"/>
      <c r="H477" s="22">
        <f>IF(G477="","",G477+3)</f>
        <v/>
      </c>
      <c r="I477" s="22">
        <f>IF(G477="","",G477+7)</f>
        <v/>
      </c>
      <c r="J477" s="22">
        <f>IF(G477="","",G477+14)</f>
        <v/>
      </c>
      <c r="K477" s="19" t="n"/>
      <c r="L477" s="19" t="n"/>
    </row>
    <row r="478">
      <c r="A478" s="19" t="n"/>
      <c r="B478" s="19" t="n"/>
      <c r="C478" s="19" t="n"/>
      <c r="D478" s="19" t="n"/>
      <c r="E478" s="19" t="n"/>
      <c r="F478" s="19" t="n"/>
      <c r="G478" s="21" t="n"/>
      <c r="H478" s="22">
        <f>IF(G478="","",G478+3)</f>
        <v/>
      </c>
      <c r="I478" s="22">
        <f>IF(G478="","",G478+7)</f>
        <v/>
      </c>
      <c r="J478" s="22">
        <f>IF(G478="","",G478+14)</f>
        <v/>
      </c>
      <c r="K478" s="19" t="n"/>
      <c r="L478" s="19" t="n"/>
    </row>
    <row r="479">
      <c r="A479" s="19" t="n"/>
      <c r="B479" s="19" t="n"/>
      <c r="C479" s="19" t="n"/>
      <c r="D479" s="19" t="n"/>
      <c r="E479" s="19" t="n"/>
      <c r="F479" s="19" t="n"/>
      <c r="G479" s="21" t="n"/>
      <c r="H479" s="22">
        <f>IF(G479="","",G479+3)</f>
        <v/>
      </c>
      <c r="I479" s="22">
        <f>IF(G479="","",G479+7)</f>
        <v/>
      </c>
      <c r="J479" s="22">
        <f>IF(G479="","",G479+14)</f>
        <v/>
      </c>
      <c r="K479" s="19" t="n"/>
      <c r="L479" s="19" t="n"/>
    </row>
    <row r="480">
      <c r="A480" s="19" t="n"/>
      <c r="B480" s="19" t="n"/>
      <c r="C480" s="19" t="n"/>
      <c r="D480" s="19" t="n"/>
      <c r="E480" s="19" t="n"/>
      <c r="F480" s="19" t="n"/>
      <c r="G480" s="21" t="n"/>
      <c r="H480" s="22">
        <f>IF(G480="","",G480+3)</f>
        <v/>
      </c>
      <c r="I480" s="22">
        <f>IF(G480="","",G480+7)</f>
        <v/>
      </c>
      <c r="J480" s="22">
        <f>IF(G480="","",G480+14)</f>
        <v/>
      </c>
      <c r="K480" s="19" t="n"/>
      <c r="L480" s="19" t="n"/>
    </row>
    <row r="481">
      <c r="A481" s="19" t="n"/>
      <c r="B481" s="19" t="n"/>
      <c r="C481" s="19" t="n"/>
      <c r="D481" s="19" t="n"/>
      <c r="E481" s="19" t="n"/>
      <c r="F481" s="19" t="n"/>
      <c r="G481" s="21" t="n"/>
      <c r="H481" s="22">
        <f>IF(G481="","",G481+3)</f>
        <v/>
      </c>
      <c r="I481" s="22">
        <f>IF(G481="","",G481+7)</f>
        <v/>
      </c>
      <c r="J481" s="22">
        <f>IF(G481="","",G481+14)</f>
        <v/>
      </c>
      <c r="K481" s="19" t="n"/>
      <c r="L481" s="19" t="n"/>
    </row>
    <row r="482">
      <c r="A482" s="19" t="n"/>
      <c r="B482" s="19" t="n"/>
      <c r="C482" s="19" t="n"/>
      <c r="D482" s="19" t="n"/>
      <c r="E482" s="19" t="n"/>
      <c r="F482" s="19" t="n"/>
      <c r="G482" s="21" t="n"/>
      <c r="H482" s="22">
        <f>IF(G482="","",G482+3)</f>
        <v/>
      </c>
      <c r="I482" s="22">
        <f>IF(G482="","",G482+7)</f>
        <v/>
      </c>
      <c r="J482" s="22">
        <f>IF(G482="","",G482+14)</f>
        <v/>
      </c>
      <c r="K482" s="19" t="n"/>
      <c r="L482" s="19" t="n"/>
    </row>
    <row r="483">
      <c r="A483" s="19" t="n"/>
      <c r="B483" s="19" t="n"/>
      <c r="C483" s="19" t="n"/>
      <c r="D483" s="19" t="n"/>
      <c r="E483" s="19" t="n"/>
      <c r="F483" s="19" t="n"/>
      <c r="G483" s="21" t="n"/>
      <c r="H483" s="22">
        <f>IF(G483="","",G483+3)</f>
        <v/>
      </c>
      <c r="I483" s="22">
        <f>IF(G483="","",G483+7)</f>
        <v/>
      </c>
      <c r="J483" s="22">
        <f>IF(G483="","",G483+14)</f>
        <v/>
      </c>
      <c r="K483" s="19" t="n"/>
      <c r="L483" s="19" t="n"/>
    </row>
    <row r="484">
      <c r="A484" s="19" t="n"/>
      <c r="B484" s="19" t="n"/>
      <c r="C484" s="19" t="n"/>
      <c r="D484" s="19" t="n"/>
      <c r="E484" s="19" t="n"/>
      <c r="F484" s="19" t="n"/>
      <c r="G484" s="21" t="n"/>
      <c r="H484" s="22">
        <f>IF(G484="","",G484+3)</f>
        <v/>
      </c>
      <c r="I484" s="22">
        <f>IF(G484="","",G484+7)</f>
        <v/>
      </c>
      <c r="J484" s="22">
        <f>IF(G484="","",G484+14)</f>
        <v/>
      </c>
      <c r="K484" s="19" t="n"/>
      <c r="L484" s="19" t="n"/>
    </row>
    <row r="485">
      <c r="A485" s="19" t="n"/>
      <c r="B485" s="19" t="n"/>
      <c r="C485" s="19" t="n"/>
      <c r="D485" s="19" t="n"/>
      <c r="E485" s="19" t="n"/>
      <c r="F485" s="19" t="n"/>
      <c r="G485" s="21" t="n"/>
      <c r="H485" s="22">
        <f>IF(G485="","",G485+3)</f>
        <v/>
      </c>
      <c r="I485" s="22">
        <f>IF(G485="","",G485+7)</f>
        <v/>
      </c>
      <c r="J485" s="22">
        <f>IF(G485="","",G485+14)</f>
        <v/>
      </c>
      <c r="K485" s="19" t="n"/>
      <c r="L485" s="19" t="n"/>
    </row>
    <row r="486">
      <c r="A486" s="19" t="n"/>
      <c r="B486" s="19" t="n"/>
      <c r="C486" s="19" t="n"/>
      <c r="D486" s="19" t="n"/>
      <c r="E486" s="19" t="n"/>
      <c r="F486" s="19" t="n"/>
      <c r="G486" s="21" t="n"/>
      <c r="H486" s="22">
        <f>IF(G486="","",G486+3)</f>
        <v/>
      </c>
      <c r="I486" s="22">
        <f>IF(G486="","",G486+7)</f>
        <v/>
      </c>
      <c r="J486" s="22">
        <f>IF(G486="","",G486+14)</f>
        <v/>
      </c>
      <c r="K486" s="19" t="n"/>
      <c r="L486" s="19" t="n"/>
    </row>
    <row r="487">
      <c r="A487" s="19" t="n"/>
      <c r="B487" s="19" t="n"/>
      <c r="C487" s="19" t="n"/>
      <c r="D487" s="19" t="n"/>
      <c r="E487" s="19" t="n"/>
      <c r="F487" s="19" t="n"/>
      <c r="G487" s="21" t="n"/>
      <c r="H487" s="22">
        <f>IF(G487="","",G487+3)</f>
        <v/>
      </c>
      <c r="I487" s="22">
        <f>IF(G487="","",G487+7)</f>
        <v/>
      </c>
      <c r="J487" s="22">
        <f>IF(G487="","",G487+14)</f>
        <v/>
      </c>
      <c r="K487" s="19" t="n"/>
      <c r="L487" s="19" t="n"/>
    </row>
    <row r="488">
      <c r="A488" s="19" t="n"/>
      <c r="B488" s="19" t="n"/>
      <c r="C488" s="19" t="n"/>
      <c r="D488" s="19" t="n"/>
      <c r="E488" s="19" t="n"/>
      <c r="F488" s="19" t="n"/>
      <c r="G488" s="21" t="n"/>
      <c r="H488" s="22">
        <f>IF(G488="","",G488+3)</f>
        <v/>
      </c>
      <c r="I488" s="22">
        <f>IF(G488="","",G488+7)</f>
        <v/>
      </c>
      <c r="J488" s="22">
        <f>IF(G488="","",G488+14)</f>
        <v/>
      </c>
      <c r="K488" s="19" t="n"/>
      <c r="L488" s="19" t="n"/>
    </row>
    <row r="489">
      <c r="A489" s="19" t="n"/>
      <c r="B489" s="19" t="n"/>
      <c r="C489" s="19" t="n"/>
      <c r="D489" s="19" t="n"/>
      <c r="E489" s="19" t="n"/>
      <c r="F489" s="19" t="n"/>
      <c r="G489" s="21" t="n"/>
      <c r="H489" s="22">
        <f>IF(G489="","",G489+3)</f>
        <v/>
      </c>
      <c r="I489" s="22">
        <f>IF(G489="","",G489+7)</f>
        <v/>
      </c>
      <c r="J489" s="22">
        <f>IF(G489="","",G489+14)</f>
        <v/>
      </c>
      <c r="K489" s="19" t="n"/>
      <c r="L489" s="19" t="n"/>
    </row>
    <row r="490">
      <c r="A490" s="19" t="n"/>
      <c r="B490" s="19" t="n"/>
      <c r="C490" s="19" t="n"/>
      <c r="D490" s="19" t="n"/>
      <c r="E490" s="19" t="n"/>
      <c r="F490" s="19" t="n"/>
      <c r="G490" s="21" t="n"/>
      <c r="H490" s="22">
        <f>IF(G490="","",G490+3)</f>
        <v/>
      </c>
      <c r="I490" s="22">
        <f>IF(G490="","",G490+7)</f>
        <v/>
      </c>
      <c r="J490" s="22">
        <f>IF(G490="","",G490+14)</f>
        <v/>
      </c>
      <c r="K490" s="19" t="n"/>
      <c r="L490" s="19" t="n"/>
    </row>
    <row r="491">
      <c r="A491" s="19" t="n"/>
      <c r="B491" s="19" t="n"/>
      <c r="C491" s="19" t="n"/>
      <c r="D491" s="19" t="n"/>
      <c r="E491" s="19" t="n"/>
      <c r="F491" s="19" t="n"/>
      <c r="G491" s="21" t="n"/>
      <c r="H491" s="22">
        <f>IF(G491="","",G491+3)</f>
        <v/>
      </c>
      <c r="I491" s="22">
        <f>IF(G491="","",G491+7)</f>
        <v/>
      </c>
      <c r="J491" s="22">
        <f>IF(G491="","",G491+14)</f>
        <v/>
      </c>
      <c r="K491" s="19" t="n"/>
      <c r="L491" s="19" t="n"/>
    </row>
    <row r="492">
      <c r="A492" s="19" t="n"/>
      <c r="B492" s="19" t="n"/>
      <c r="C492" s="19" t="n"/>
      <c r="D492" s="19" t="n"/>
      <c r="E492" s="19" t="n"/>
      <c r="F492" s="19" t="n"/>
      <c r="G492" s="21" t="n"/>
      <c r="H492" s="22">
        <f>IF(G492="","",G492+3)</f>
        <v/>
      </c>
      <c r="I492" s="22">
        <f>IF(G492="","",G492+7)</f>
        <v/>
      </c>
      <c r="J492" s="22">
        <f>IF(G492="","",G492+14)</f>
        <v/>
      </c>
      <c r="K492" s="19" t="n"/>
      <c r="L492" s="19" t="n"/>
    </row>
    <row r="493">
      <c r="A493" s="19" t="n"/>
      <c r="B493" s="19" t="n"/>
      <c r="C493" s="19" t="n"/>
      <c r="D493" s="19" t="n"/>
      <c r="E493" s="19" t="n"/>
      <c r="F493" s="19" t="n"/>
      <c r="G493" s="21" t="n"/>
      <c r="H493" s="22">
        <f>IF(G493="","",G493+3)</f>
        <v/>
      </c>
      <c r="I493" s="22">
        <f>IF(G493="","",G493+7)</f>
        <v/>
      </c>
      <c r="J493" s="22">
        <f>IF(G493="","",G493+14)</f>
        <v/>
      </c>
      <c r="K493" s="19" t="n"/>
      <c r="L493" s="19" t="n"/>
    </row>
    <row r="494">
      <c r="A494" s="19" t="n"/>
      <c r="B494" s="19" t="n"/>
      <c r="C494" s="19" t="n"/>
      <c r="D494" s="19" t="n"/>
      <c r="E494" s="19" t="n"/>
      <c r="F494" s="19" t="n"/>
      <c r="G494" s="21" t="n"/>
      <c r="H494" s="22">
        <f>IF(G494="","",G494+3)</f>
        <v/>
      </c>
      <c r="I494" s="22">
        <f>IF(G494="","",G494+7)</f>
        <v/>
      </c>
      <c r="J494" s="22">
        <f>IF(G494="","",G494+14)</f>
        <v/>
      </c>
      <c r="K494" s="19" t="n"/>
      <c r="L494" s="19" t="n"/>
    </row>
    <row r="495">
      <c r="A495" s="19" t="n"/>
      <c r="B495" s="19" t="n"/>
      <c r="C495" s="19" t="n"/>
      <c r="D495" s="19" t="n"/>
      <c r="E495" s="19" t="n"/>
      <c r="F495" s="19" t="n"/>
      <c r="G495" s="21" t="n"/>
      <c r="H495" s="22">
        <f>IF(G495="","",G495+3)</f>
        <v/>
      </c>
      <c r="I495" s="22">
        <f>IF(G495="","",G495+7)</f>
        <v/>
      </c>
      <c r="J495" s="22">
        <f>IF(G495="","",G495+14)</f>
        <v/>
      </c>
      <c r="K495" s="19" t="n"/>
      <c r="L495" s="19" t="n"/>
    </row>
    <row r="496">
      <c r="A496" s="19" t="n"/>
      <c r="B496" s="19" t="n"/>
      <c r="C496" s="19" t="n"/>
      <c r="D496" s="19" t="n"/>
      <c r="E496" s="19" t="n"/>
      <c r="F496" s="19" t="n"/>
      <c r="G496" s="21" t="n"/>
      <c r="H496" s="22">
        <f>IF(G496="","",G496+3)</f>
        <v/>
      </c>
      <c r="I496" s="22">
        <f>IF(G496="","",G496+7)</f>
        <v/>
      </c>
      <c r="J496" s="22">
        <f>IF(G496="","",G496+14)</f>
        <v/>
      </c>
      <c r="K496" s="19" t="n"/>
      <c r="L496" s="19" t="n"/>
    </row>
    <row r="497">
      <c r="A497" s="19" t="n"/>
      <c r="B497" s="19" t="n"/>
      <c r="C497" s="19" t="n"/>
      <c r="D497" s="19" t="n"/>
      <c r="E497" s="19" t="n"/>
      <c r="F497" s="19" t="n"/>
      <c r="G497" s="21" t="n"/>
      <c r="H497" s="22">
        <f>IF(G497="","",G497+3)</f>
        <v/>
      </c>
      <c r="I497" s="22">
        <f>IF(G497="","",G497+7)</f>
        <v/>
      </c>
      <c r="J497" s="22">
        <f>IF(G497="","",G497+14)</f>
        <v/>
      </c>
      <c r="K497" s="19" t="n"/>
      <c r="L497" s="19" t="n"/>
    </row>
    <row r="498">
      <c r="A498" s="19" t="n"/>
      <c r="B498" s="19" t="n"/>
      <c r="C498" s="19" t="n"/>
      <c r="D498" s="19" t="n"/>
      <c r="E498" s="19" t="n"/>
      <c r="F498" s="19" t="n"/>
      <c r="G498" s="21" t="n"/>
      <c r="H498" s="22">
        <f>IF(G498="","",G498+3)</f>
        <v/>
      </c>
      <c r="I498" s="22">
        <f>IF(G498="","",G498+7)</f>
        <v/>
      </c>
      <c r="J498" s="22">
        <f>IF(G498="","",G498+14)</f>
        <v/>
      </c>
      <c r="K498" s="19" t="n"/>
      <c r="L498" s="19" t="n"/>
    </row>
    <row r="499">
      <c r="A499" s="19" t="n"/>
      <c r="B499" s="19" t="n"/>
      <c r="C499" s="19" t="n"/>
      <c r="D499" s="19" t="n"/>
      <c r="E499" s="19" t="n"/>
      <c r="F499" s="19" t="n"/>
      <c r="G499" s="21" t="n"/>
      <c r="H499" s="22">
        <f>IF(G499="","",G499+3)</f>
        <v/>
      </c>
      <c r="I499" s="22">
        <f>IF(G499="","",G499+7)</f>
        <v/>
      </c>
      <c r="J499" s="22">
        <f>IF(G499="","",G499+14)</f>
        <v/>
      </c>
      <c r="K499" s="19" t="n"/>
      <c r="L499" s="19" t="n"/>
    </row>
    <row r="500">
      <c r="A500" s="19" t="n"/>
      <c r="B500" s="19" t="n"/>
      <c r="C500" s="19" t="n"/>
      <c r="D500" s="19" t="n"/>
      <c r="E500" s="19" t="n"/>
      <c r="F500" s="19" t="n"/>
      <c r="G500" s="21" t="n"/>
      <c r="H500" s="22">
        <f>IF(G500="","",G500+3)</f>
        <v/>
      </c>
      <c r="I500" s="22">
        <f>IF(G500="","",G500+7)</f>
        <v/>
      </c>
      <c r="J500" s="22">
        <f>IF(G500="","",G500+14)</f>
        <v/>
      </c>
      <c r="K500" s="19" t="n"/>
      <c r="L500" s="19" t="n"/>
    </row>
    <row r="501">
      <c r="A501" s="19" t="n"/>
      <c r="B501" s="19" t="n"/>
      <c r="C501" s="19" t="n"/>
      <c r="D501" s="19" t="n"/>
      <c r="E501" s="19" t="n"/>
      <c r="F501" s="19" t="n"/>
      <c r="G501" s="21" t="n"/>
      <c r="H501" s="22">
        <f>IF(G501="","",G501+3)</f>
        <v/>
      </c>
      <c r="I501" s="22">
        <f>IF(G501="","",G501+7)</f>
        <v/>
      </c>
      <c r="J501" s="22">
        <f>IF(G501="","",G501+14)</f>
        <v/>
      </c>
      <c r="K501" s="19" t="n"/>
      <c r="L501" s="19" t="n"/>
    </row>
  </sheetData>
  <autoFilter ref="A1:L501"/>
  <conditionalFormatting sqref="A2:L501">
    <cfRule type="expression" priority="1" dxfId="2">
      <formula>AND($K2="Waiting",OR(H2=TODAY(),I2=TODAY(),J2=TODAY()))</formula>
    </cfRule>
  </conditionalFormatting>
  <dataValidations count="2">
    <dataValidation sqref="K2:K501" showDropDown="0" showInputMessage="0" showErrorMessage="0" allowBlank="1" type="list">
      <formula1>"Waiting,Replied - Interested,Replied - Declined,No Response,Published"</formula1>
    </dataValidation>
    <dataValidation sqref="D2:D501" showDropDown="0" showInputMessage="0" showErrorMessage="0" allowBlank="1" type="list">
      <formula1>"English,Arabic,Other"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12" customWidth="1" min="3" max="3"/>
    <col width="11" customWidth="1" min="4" max="4"/>
    <col width="11" customWidth="1" min="5" max="5"/>
    <col width="12" customWidth="1" min="6" max="6"/>
    <col width="22" customWidth="1" min="7" max="7"/>
    <col width="12" customWidth="1" min="8" max="8"/>
    <col width="30" customWidth="1" min="9" max="9"/>
  </cols>
  <sheetData>
    <row r="1" ht="32" customHeight="1">
      <c r="A1" s="14" t="inlineStr">
        <is>
          <t>Published URL</t>
        </is>
      </c>
      <c r="B1" s="14" t="inlineStr">
        <is>
          <t>Website</t>
        </is>
      </c>
      <c r="C1" s="14" t="inlineStr">
        <is>
          <t>Check Date</t>
        </is>
      </c>
      <c r="D1" s="14" t="inlineStr">
        <is>
          <t>Link Found</t>
        </is>
      </c>
      <c r="E1" s="14" t="inlineStr">
        <is>
          <t>Rel</t>
        </is>
      </c>
      <c r="F1" s="14" t="inlineStr">
        <is>
          <t>Page Indexed</t>
        </is>
      </c>
      <c r="G1" s="14" t="inlineStr">
        <is>
          <t>Anchor Text</t>
        </is>
      </c>
      <c r="H1" s="14" t="inlineStr">
        <is>
          <t>Link Status</t>
        </is>
      </c>
      <c r="I1" s="14" t="inlineStr">
        <is>
          <t>Notes</t>
        </is>
      </c>
    </row>
    <row r="2">
      <c r="A2" s="15" t="inlineStr">
        <is>
          <t>https://dramafansmag.example/hidden-gem-historical-cdramas</t>
        </is>
      </c>
      <c r="B2" s="15" t="inlineStr">
        <is>
          <t>dramafansmag.example</t>
        </is>
      </c>
      <c r="C2" s="17" t="n">
        <v>46315</v>
      </c>
      <c r="D2" s="15" t="inlineStr">
        <is>
          <t>Yes</t>
        </is>
      </c>
      <c r="E2" s="15" t="inlineStr">
        <is>
          <t>Dofollow</t>
        </is>
      </c>
      <c r="F2" s="15" t="inlineStr">
        <is>
          <t>Yes</t>
        </is>
      </c>
      <c r="G2" s="15" t="inlineStr">
        <is>
          <t>YourSite</t>
        </is>
      </c>
      <c r="H2" s="18">
        <f>IF(D2="","",IF(D2="No","Lost",IF(E2="Dofollow","Live","Live (nofollow)")))</f>
        <v/>
      </c>
      <c r="I2" s="19" t="n"/>
    </row>
    <row r="3">
      <c r="A3" s="19" t="n"/>
      <c r="B3" s="19" t="n"/>
      <c r="C3" s="21" t="n"/>
      <c r="D3" s="19" t="n"/>
      <c r="E3" s="19" t="n"/>
      <c r="F3" s="19" t="n"/>
      <c r="G3" s="19" t="n"/>
      <c r="H3" s="18">
        <f>IF(D3="","",IF(D3="No","Lost",IF(E3="Dofollow","Live","Live (nofollow)")))</f>
        <v/>
      </c>
      <c r="I3" s="19" t="n"/>
    </row>
    <row r="4">
      <c r="A4" s="19" t="n"/>
      <c r="B4" s="19" t="n"/>
      <c r="C4" s="21" t="n"/>
      <c r="D4" s="19" t="n"/>
      <c r="E4" s="19" t="n"/>
      <c r="F4" s="19" t="n"/>
      <c r="G4" s="19" t="n"/>
      <c r="H4" s="18">
        <f>IF(D4="","",IF(D4="No","Lost",IF(E4="Dofollow","Live","Live (nofollow)")))</f>
        <v/>
      </c>
      <c r="I4" s="19" t="n"/>
    </row>
    <row r="5">
      <c r="A5" s="19" t="n"/>
      <c r="B5" s="19" t="n"/>
      <c r="C5" s="21" t="n"/>
      <c r="D5" s="19" t="n"/>
      <c r="E5" s="19" t="n"/>
      <c r="F5" s="19" t="n"/>
      <c r="G5" s="19" t="n"/>
      <c r="H5" s="18">
        <f>IF(D5="","",IF(D5="No","Lost",IF(E5="Dofollow","Live","Live (nofollow)")))</f>
        <v/>
      </c>
      <c r="I5" s="19" t="n"/>
    </row>
    <row r="6">
      <c r="A6" s="19" t="n"/>
      <c r="B6" s="19" t="n"/>
      <c r="C6" s="21" t="n"/>
      <c r="D6" s="19" t="n"/>
      <c r="E6" s="19" t="n"/>
      <c r="F6" s="19" t="n"/>
      <c r="G6" s="19" t="n"/>
      <c r="H6" s="18">
        <f>IF(D6="","",IF(D6="No","Lost",IF(E6="Dofollow","Live","Live (nofollow)")))</f>
        <v/>
      </c>
      <c r="I6" s="19" t="n"/>
    </row>
    <row r="7">
      <c r="A7" s="19" t="n"/>
      <c r="B7" s="19" t="n"/>
      <c r="C7" s="21" t="n"/>
      <c r="D7" s="19" t="n"/>
      <c r="E7" s="19" t="n"/>
      <c r="F7" s="19" t="n"/>
      <c r="G7" s="19" t="n"/>
      <c r="H7" s="18">
        <f>IF(D7="","",IF(D7="No","Lost",IF(E7="Dofollow","Live","Live (nofollow)")))</f>
        <v/>
      </c>
      <c r="I7" s="19" t="n"/>
    </row>
    <row r="8">
      <c r="A8" s="19" t="n"/>
      <c r="B8" s="19" t="n"/>
      <c r="C8" s="21" t="n"/>
      <c r="D8" s="19" t="n"/>
      <c r="E8" s="19" t="n"/>
      <c r="F8" s="19" t="n"/>
      <c r="G8" s="19" t="n"/>
      <c r="H8" s="18">
        <f>IF(D8="","",IF(D8="No","Lost",IF(E8="Dofollow","Live","Live (nofollow)")))</f>
        <v/>
      </c>
      <c r="I8" s="19" t="n"/>
    </row>
    <row r="9">
      <c r="A9" s="19" t="n"/>
      <c r="B9" s="19" t="n"/>
      <c r="C9" s="21" t="n"/>
      <c r="D9" s="19" t="n"/>
      <c r="E9" s="19" t="n"/>
      <c r="F9" s="19" t="n"/>
      <c r="G9" s="19" t="n"/>
      <c r="H9" s="18">
        <f>IF(D9="","",IF(D9="No","Lost",IF(E9="Dofollow","Live","Live (nofollow)")))</f>
        <v/>
      </c>
      <c r="I9" s="19" t="n"/>
    </row>
    <row r="10">
      <c r="A10" s="19" t="n"/>
      <c r="B10" s="19" t="n"/>
      <c r="C10" s="21" t="n"/>
      <c r="D10" s="19" t="n"/>
      <c r="E10" s="19" t="n"/>
      <c r="F10" s="19" t="n"/>
      <c r="G10" s="19" t="n"/>
      <c r="H10" s="18">
        <f>IF(D10="","",IF(D10="No","Lost",IF(E10="Dofollow","Live","Live (nofollow)")))</f>
        <v/>
      </c>
      <c r="I10" s="19" t="n"/>
    </row>
    <row r="11">
      <c r="A11" s="19" t="n"/>
      <c r="B11" s="19" t="n"/>
      <c r="C11" s="21" t="n"/>
      <c r="D11" s="19" t="n"/>
      <c r="E11" s="19" t="n"/>
      <c r="F11" s="19" t="n"/>
      <c r="G11" s="19" t="n"/>
      <c r="H11" s="18">
        <f>IF(D11="","",IF(D11="No","Lost",IF(E11="Dofollow","Live","Live (nofollow)")))</f>
        <v/>
      </c>
      <c r="I11" s="19" t="n"/>
    </row>
    <row r="12">
      <c r="A12" s="19" t="n"/>
      <c r="B12" s="19" t="n"/>
      <c r="C12" s="21" t="n"/>
      <c r="D12" s="19" t="n"/>
      <c r="E12" s="19" t="n"/>
      <c r="F12" s="19" t="n"/>
      <c r="G12" s="19" t="n"/>
      <c r="H12" s="18">
        <f>IF(D12="","",IF(D12="No","Lost",IF(E12="Dofollow","Live","Live (nofollow)")))</f>
        <v/>
      </c>
      <c r="I12" s="19" t="n"/>
    </row>
    <row r="13">
      <c r="A13" s="19" t="n"/>
      <c r="B13" s="19" t="n"/>
      <c r="C13" s="21" t="n"/>
      <c r="D13" s="19" t="n"/>
      <c r="E13" s="19" t="n"/>
      <c r="F13" s="19" t="n"/>
      <c r="G13" s="19" t="n"/>
      <c r="H13" s="18">
        <f>IF(D13="","",IF(D13="No","Lost",IF(E13="Dofollow","Live","Live (nofollow)")))</f>
        <v/>
      </c>
      <c r="I13" s="19" t="n"/>
    </row>
    <row r="14">
      <c r="A14" s="19" t="n"/>
      <c r="B14" s="19" t="n"/>
      <c r="C14" s="21" t="n"/>
      <c r="D14" s="19" t="n"/>
      <c r="E14" s="19" t="n"/>
      <c r="F14" s="19" t="n"/>
      <c r="G14" s="19" t="n"/>
      <c r="H14" s="18">
        <f>IF(D14="","",IF(D14="No","Lost",IF(E14="Dofollow","Live","Live (nofollow)")))</f>
        <v/>
      </c>
      <c r="I14" s="19" t="n"/>
    </row>
    <row r="15">
      <c r="A15" s="19" t="n"/>
      <c r="B15" s="19" t="n"/>
      <c r="C15" s="21" t="n"/>
      <c r="D15" s="19" t="n"/>
      <c r="E15" s="19" t="n"/>
      <c r="F15" s="19" t="n"/>
      <c r="G15" s="19" t="n"/>
      <c r="H15" s="18">
        <f>IF(D15="","",IF(D15="No","Lost",IF(E15="Dofollow","Live","Live (nofollow)")))</f>
        <v/>
      </c>
      <c r="I15" s="19" t="n"/>
    </row>
    <row r="16">
      <c r="A16" s="19" t="n"/>
      <c r="B16" s="19" t="n"/>
      <c r="C16" s="21" t="n"/>
      <c r="D16" s="19" t="n"/>
      <c r="E16" s="19" t="n"/>
      <c r="F16" s="19" t="n"/>
      <c r="G16" s="19" t="n"/>
      <c r="H16" s="18">
        <f>IF(D16="","",IF(D16="No","Lost",IF(E16="Dofollow","Live","Live (nofollow)")))</f>
        <v/>
      </c>
      <c r="I16" s="19" t="n"/>
    </row>
    <row r="17">
      <c r="A17" s="19" t="n"/>
      <c r="B17" s="19" t="n"/>
      <c r="C17" s="21" t="n"/>
      <c r="D17" s="19" t="n"/>
      <c r="E17" s="19" t="n"/>
      <c r="F17" s="19" t="n"/>
      <c r="G17" s="19" t="n"/>
      <c r="H17" s="18">
        <f>IF(D17="","",IF(D17="No","Lost",IF(E17="Dofollow","Live","Live (nofollow)")))</f>
        <v/>
      </c>
      <c r="I17" s="19" t="n"/>
    </row>
    <row r="18">
      <c r="A18" s="19" t="n"/>
      <c r="B18" s="19" t="n"/>
      <c r="C18" s="21" t="n"/>
      <c r="D18" s="19" t="n"/>
      <c r="E18" s="19" t="n"/>
      <c r="F18" s="19" t="n"/>
      <c r="G18" s="19" t="n"/>
      <c r="H18" s="18">
        <f>IF(D18="","",IF(D18="No","Lost",IF(E18="Dofollow","Live","Live (nofollow)")))</f>
        <v/>
      </c>
      <c r="I18" s="19" t="n"/>
    </row>
    <row r="19">
      <c r="A19" s="19" t="n"/>
      <c r="B19" s="19" t="n"/>
      <c r="C19" s="21" t="n"/>
      <c r="D19" s="19" t="n"/>
      <c r="E19" s="19" t="n"/>
      <c r="F19" s="19" t="n"/>
      <c r="G19" s="19" t="n"/>
      <c r="H19" s="18">
        <f>IF(D19="","",IF(D19="No","Lost",IF(E19="Dofollow","Live","Live (nofollow)")))</f>
        <v/>
      </c>
      <c r="I19" s="19" t="n"/>
    </row>
    <row r="20">
      <c r="A20" s="19" t="n"/>
      <c r="B20" s="19" t="n"/>
      <c r="C20" s="21" t="n"/>
      <c r="D20" s="19" t="n"/>
      <c r="E20" s="19" t="n"/>
      <c r="F20" s="19" t="n"/>
      <c r="G20" s="19" t="n"/>
      <c r="H20" s="18">
        <f>IF(D20="","",IF(D20="No","Lost",IF(E20="Dofollow","Live","Live (nofollow)")))</f>
        <v/>
      </c>
      <c r="I20" s="19" t="n"/>
    </row>
    <row r="21">
      <c r="A21" s="19" t="n"/>
      <c r="B21" s="19" t="n"/>
      <c r="C21" s="21" t="n"/>
      <c r="D21" s="19" t="n"/>
      <c r="E21" s="19" t="n"/>
      <c r="F21" s="19" t="n"/>
      <c r="G21" s="19" t="n"/>
      <c r="H21" s="18">
        <f>IF(D21="","",IF(D21="No","Lost",IF(E21="Dofollow","Live","Live (nofollow)")))</f>
        <v/>
      </c>
      <c r="I21" s="19" t="n"/>
    </row>
    <row r="22">
      <c r="A22" s="19" t="n"/>
      <c r="B22" s="19" t="n"/>
      <c r="C22" s="21" t="n"/>
      <c r="D22" s="19" t="n"/>
      <c r="E22" s="19" t="n"/>
      <c r="F22" s="19" t="n"/>
      <c r="G22" s="19" t="n"/>
      <c r="H22" s="18">
        <f>IF(D22="","",IF(D22="No","Lost",IF(E22="Dofollow","Live","Live (nofollow)")))</f>
        <v/>
      </c>
      <c r="I22" s="19" t="n"/>
    </row>
    <row r="23">
      <c r="A23" s="19" t="n"/>
      <c r="B23" s="19" t="n"/>
      <c r="C23" s="21" t="n"/>
      <c r="D23" s="19" t="n"/>
      <c r="E23" s="19" t="n"/>
      <c r="F23" s="19" t="n"/>
      <c r="G23" s="19" t="n"/>
      <c r="H23" s="18">
        <f>IF(D23="","",IF(D23="No","Lost",IF(E23="Dofollow","Live","Live (nofollow)")))</f>
        <v/>
      </c>
      <c r="I23" s="19" t="n"/>
    </row>
    <row r="24">
      <c r="A24" s="19" t="n"/>
      <c r="B24" s="19" t="n"/>
      <c r="C24" s="21" t="n"/>
      <c r="D24" s="19" t="n"/>
      <c r="E24" s="19" t="n"/>
      <c r="F24" s="19" t="n"/>
      <c r="G24" s="19" t="n"/>
      <c r="H24" s="18">
        <f>IF(D24="","",IF(D24="No","Lost",IF(E24="Dofollow","Live","Live (nofollow)")))</f>
        <v/>
      </c>
      <c r="I24" s="19" t="n"/>
    </row>
    <row r="25">
      <c r="A25" s="19" t="n"/>
      <c r="B25" s="19" t="n"/>
      <c r="C25" s="21" t="n"/>
      <c r="D25" s="19" t="n"/>
      <c r="E25" s="19" t="n"/>
      <c r="F25" s="19" t="n"/>
      <c r="G25" s="19" t="n"/>
      <c r="H25" s="18">
        <f>IF(D25="","",IF(D25="No","Lost",IF(E25="Dofollow","Live","Live (nofollow)")))</f>
        <v/>
      </c>
      <c r="I25" s="19" t="n"/>
    </row>
    <row r="26">
      <c r="A26" s="19" t="n"/>
      <c r="B26" s="19" t="n"/>
      <c r="C26" s="21" t="n"/>
      <c r="D26" s="19" t="n"/>
      <c r="E26" s="19" t="n"/>
      <c r="F26" s="19" t="n"/>
      <c r="G26" s="19" t="n"/>
      <c r="H26" s="18">
        <f>IF(D26="","",IF(D26="No","Lost",IF(E26="Dofollow","Live","Live (nofollow)")))</f>
        <v/>
      </c>
      <c r="I26" s="19" t="n"/>
    </row>
    <row r="27">
      <c r="A27" s="19" t="n"/>
      <c r="B27" s="19" t="n"/>
      <c r="C27" s="21" t="n"/>
      <c r="D27" s="19" t="n"/>
      <c r="E27" s="19" t="n"/>
      <c r="F27" s="19" t="n"/>
      <c r="G27" s="19" t="n"/>
      <c r="H27" s="18">
        <f>IF(D27="","",IF(D27="No","Lost",IF(E27="Dofollow","Live","Live (nofollow)")))</f>
        <v/>
      </c>
      <c r="I27" s="19" t="n"/>
    </row>
    <row r="28">
      <c r="A28" s="19" t="n"/>
      <c r="B28" s="19" t="n"/>
      <c r="C28" s="21" t="n"/>
      <c r="D28" s="19" t="n"/>
      <c r="E28" s="19" t="n"/>
      <c r="F28" s="19" t="n"/>
      <c r="G28" s="19" t="n"/>
      <c r="H28" s="18">
        <f>IF(D28="","",IF(D28="No","Lost",IF(E28="Dofollow","Live","Live (nofollow)")))</f>
        <v/>
      </c>
      <c r="I28" s="19" t="n"/>
    </row>
    <row r="29">
      <c r="A29" s="19" t="n"/>
      <c r="B29" s="19" t="n"/>
      <c r="C29" s="21" t="n"/>
      <c r="D29" s="19" t="n"/>
      <c r="E29" s="19" t="n"/>
      <c r="F29" s="19" t="n"/>
      <c r="G29" s="19" t="n"/>
      <c r="H29" s="18">
        <f>IF(D29="","",IF(D29="No","Lost",IF(E29="Dofollow","Live","Live (nofollow)")))</f>
        <v/>
      </c>
      <c r="I29" s="19" t="n"/>
    </row>
    <row r="30">
      <c r="A30" s="19" t="n"/>
      <c r="B30" s="19" t="n"/>
      <c r="C30" s="21" t="n"/>
      <c r="D30" s="19" t="n"/>
      <c r="E30" s="19" t="n"/>
      <c r="F30" s="19" t="n"/>
      <c r="G30" s="19" t="n"/>
      <c r="H30" s="18">
        <f>IF(D30="","",IF(D30="No","Lost",IF(E30="Dofollow","Live","Live (nofollow)")))</f>
        <v/>
      </c>
      <c r="I30" s="19" t="n"/>
    </row>
    <row r="31">
      <c r="A31" s="19" t="n"/>
      <c r="B31" s="19" t="n"/>
      <c r="C31" s="21" t="n"/>
      <c r="D31" s="19" t="n"/>
      <c r="E31" s="19" t="n"/>
      <c r="F31" s="19" t="n"/>
      <c r="G31" s="19" t="n"/>
      <c r="H31" s="18">
        <f>IF(D31="","",IF(D31="No","Lost",IF(E31="Dofollow","Live","Live (nofollow)")))</f>
        <v/>
      </c>
      <c r="I31" s="19" t="n"/>
    </row>
    <row r="32">
      <c r="A32" s="19" t="n"/>
      <c r="B32" s="19" t="n"/>
      <c r="C32" s="21" t="n"/>
      <c r="D32" s="19" t="n"/>
      <c r="E32" s="19" t="n"/>
      <c r="F32" s="19" t="n"/>
      <c r="G32" s="19" t="n"/>
      <c r="H32" s="18">
        <f>IF(D32="","",IF(D32="No","Lost",IF(E32="Dofollow","Live","Live (nofollow)")))</f>
        <v/>
      </c>
      <c r="I32" s="19" t="n"/>
    </row>
    <row r="33">
      <c r="A33" s="19" t="n"/>
      <c r="B33" s="19" t="n"/>
      <c r="C33" s="21" t="n"/>
      <c r="D33" s="19" t="n"/>
      <c r="E33" s="19" t="n"/>
      <c r="F33" s="19" t="n"/>
      <c r="G33" s="19" t="n"/>
      <c r="H33" s="18">
        <f>IF(D33="","",IF(D33="No","Lost",IF(E33="Dofollow","Live","Live (nofollow)")))</f>
        <v/>
      </c>
      <c r="I33" s="19" t="n"/>
    </row>
    <row r="34">
      <c r="A34" s="19" t="n"/>
      <c r="B34" s="19" t="n"/>
      <c r="C34" s="21" t="n"/>
      <c r="D34" s="19" t="n"/>
      <c r="E34" s="19" t="n"/>
      <c r="F34" s="19" t="n"/>
      <c r="G34" s="19" t="n"/>
      <c r="H34" s="18">
        <f>IF(D34="","",IF(D34="No","Lost",IF(E34="Dofollow","Live","Live (nofollow)")))</f>
        <v/>
      </c>
      <c r="I34" s="19" t="n"/>
    </row>
    <row r="35">
      <c r="A35" s="19" t="n"/>
      <c r="B35" s="19" t="n"/>
      <c r="C35" s="21" t="n"/>
      <c r="D35" s="19" t="n"/>
      <c r="E35" s="19" t="n"/>
      <c r="F35" s="19" t="n"/>
      <c r="G35" s="19" t="n"/>
      <c r="H35" s="18">
        <f>IF(D35="","",IF(D35="No","Lost",IF(E35="Dofollow","Live","Live (nofollow)")))</f>
        <v/>
      </c>
      <c r="I35" s="19" t="n"/>
    </row>
    <row r="36">
      <c r="A36" s="19" t="n"/>
      <c r="B36" s="19" t="n"/>
      <c r="C36" s="21" t="n"/>
      <c r="D36" s="19" t="n"/>
      <c r="E36" s="19" t="n"/>
      <c r="F36" s="19" t="n"/>
      <c r="G36" s="19" t="n"/>
      <c r="H36" s="18">
        <f>IF(D36="","",IF(D36="No","Lost",IF(E36="Dofollow","Live","Live (nofollow)")))</f>
        <v/>
      </c>
      <c r="I36" s="19" t="n"/>
    </row>
    <row r="37">
      <c r="A37" s="19" t="n"/>
      <c r="B37" s="19" t="n"/>
      <c r="C37" s="21" t="n"/>
      <c r="D37" s="19" t="n"/>
      <c r="E37" s="19" t="n"/>
      <c r="F37" s="19" t="n"/>
      <c r="G37" s="19" t="n"/>
      <c r="H37" s="18">
        <f>IF(D37="","",IF(D37="No","Lost",IF(E37="Dofollow","Live","Live (nofollow)")))</f>
        <v/>
      </c>
      <c r="I37" s="19" t="n"/>
    </row>
    <row r="38">
      <c r="A38" s="19" t="n"/>
      <c r="B38" s="19" t="n"/>
      <c r="C38" s="21" t="n"/>
      <c r="D38" s="19" t="n"/>
      <c r="E38" s="19" t="n"/>
      <c r="F38" s="19" t="n"/>
      <c r="G38" s="19" t="n"/>
      <c r="H38" s="18">
        <f>IF(D38="","",IF(D38="No","Lost",IF(E38="Dofollow","Live","Live (nofollow)")))</f>
        <v/>
      </c>
      <c r="I38" s="19" t="n"/>
    </row>
    <row r="39">
      <c r="A39" s="19" t="n"/>
      <c r="B39" s="19" t="n"/>
      <c r="C39" s="21" t="n"/>
      <c r="D39" s="19" t="n"/>
      <c r="E39" s="19" t="n"/>
      <c r="F39" s="19" t="n"/>
      <c r="G39" s="19" t="n"/>
      <c r="H39" s="18">
        <f>IF(D39="","",IF(D39="No","Lost",IF(E39="Dofollow","Live","Live (nofollow)")))</f>
        <v/>
      </c>
      <c r="I39" s="19" t="n"/>
    </row>
    <row r="40">
      <c r="A40" s="19" t="n"/>
      <c r="B40" s="19" t="n"/>
      <c r="C40" s="21" t="n"/>
      <c r="D40" s="19" t="n"/>
      <c r="E40" s="19" t="n"/>
      <c r="F40" s="19" t="n"/>
      <c r="G40" s="19" t="n"/>
      <c r="H40" s="18">
        <f>IF(D40="","",IF(D40="No","Lost",IF(E40="Dofollow","Live","Live (nofollow)")))</f>
        <v/>
      </c>
      <c r="I40" s="19" t="n"/>
    </row>
    <row r="41">
      <c r="A41" s="19" t="n"/>
      <c r="B41" s="19" t="n"/>
      <c r="C41" s="21" t="n"/>
      <c r="D41" s="19" t="n"/>
      <c r="E41" s="19" t="n"/>
      <c r="F41" s="19" t="n"/>
      <c r="G41" s="19" t="n"/>
      <c r="H41" s="18">
        <f>IF(D41="","",IF(D41="No","Lost",IF(E41="Dofollow","Live","Live (nofollow)")))</f>
        <v/>
      </c>
      <c r="I41" s="19" t="n"/>
    </row>
    <row r="42">
      <c r="A42" s="19" t="n"/>
      <c r="B42" s="19" t="n"/>
      <c r="C42" s="21" t="n"/>
      <c r="D42" s="19" t="n"/>
      <c r="E42" s="19" t="n"/>
      <c r="F42" s="19" t="n"/>
      <c r="G42" s="19" t="n"/>
      <c r="H42" s="18">
        <f>IF(D42="","",IF(D42="No","Lost",IF(E42="Dofollow","Live","Live (nofollow)")))</f>
        <v/>
      </c>
      <c r="I42" s="19" t="n"/>
    </row>
    <row r="43">
      <c r="A43" s="19" t="n"/>
      <c r="B43" s="19" t="n"/>
      <c r="C43" s="21" t="n"/>
      <c r="D43" s="19" t="n"/>
      <c r="E43" s="19" t="n"/>
      <c r="F43" s="19" t="n"/>
      <c r="G43" s="19" t="n"/>
      <c r="H43" s="18">
        <f>IF(D43="","",IF(D43="No","Lost",IF(E43="Dofollow","Live","Live (nofollow)")))</f>
        <v/>
      </c>
      <c r="I43" s="19" t="n"/>
    </row>
    <row r="44">
      <c r="A44" s="19" t="n"/>
      <c r="B44" s="19" t="n"/>
      <c r="C44" s="21" t="n"/>
      <c r="D44" s="19" t="n"/>
      <c r="E44" s="19" t="n"/>
      <c r="F44" s="19" t="n"/>
      <c r="G44" s="19" t="n"/>
      <c r="H44" s="18">
        <f>IF(D44="","",IF(D44="No","Lost",IF(E44="Dofollow","Live","Live (nofollow)")))</f>
        <v/>
      </c>
      <c r="I44" s="19" t="n"/>
    </row>
    <row r="45">
      <c r="A45" s="19" t="n"/>
      <c r="B45" s="19" t="n"/>
      <c r="C45" s="21" t="n"/>
      <c r="D45" s="19" t="n"/>
      <c r="E45" s="19" t="n"/>
      <c r="F45" s="19" t="n"/>
      <c r="G45" s="19" t="n"/>
      <c r="H45" s="18">
        <f>IF(D45="","",IF(D45="No","Lost",IF(E45="Dofollow","Live","Live (nofollow)")))</f>
        <v/>
      </c>
      <c r="I45" s="19" t="n"/>
    </row>
    <row r="46">
      <c r="A46" s="19" t="n"/>
      <c r="B46" s="19" t="n"/>
      <c r="C46" s="21" t="n"/>
      <c r="D46" s="19" t="n"/>
      <c r="E46" s="19" t="n"/>
      <c r="F46" s="19" t="n"/>
      <c r="G46" s="19" t="n"/>
      <c r="H46" s="18">
        <f>IF(D46="","",IF(D46="No","Lost",IF(E46="Dofollow","Live","Live (nofollow)")))</f>
        <v/>
      </c>
      <c r="I46" s="19" t="n"/>
    </row>
    <row r="47">
      <c r="A47" s="19" t="n"/>
      <c r="B47" s="19" t="n"/>
      <c r="C47" s="21" t="n"/>
      <c r="D47" s="19" t="n"/>
      <c r="E47" s="19" t="n"/>
      <c r="F47" s="19" t="n"/>
      <c r="G47" s="19" t="n"/>
      <c r="H47" s="18">
        <f>IF(D47="","",IF(D47="No","Lost",IF(E47="Dofollow","Live","Live (nofollow)")))</f>
        <v/>
      </c>
      <c r="I47" s="19" t="n"/>
    </row>
    <row r="48">
      <c r="A48" s="19" t="n"/>
      <c r="B48" s="19" t="n"/>
      <c r="C48" s="21" t="n"/>
      <c r="D48" s="19" t="n"/>
      <c r="E48" s="19" t="n"/>
      <c r="F48" s="19" t="n"/>
      <c r="G48" s="19" t="n"/>
      <c r="H48" s="18">
        <f>IF(D48="","",IF(D48="No","Lost",IF(E48="Dofollow","Live","Live (nofollow)")))</f>
        <v/>
      </c>
      <c r="I48" s="19" t="n"/>
    </row>
    <row r="49">
      <c r="A49" s="19" t="n"/>
      <c r="B49" s="19" t="n"/>
      <c r="C49" s="21" t="n"/>
      <c r="D49" s="19" t="n"/>
      <c r="E49" s="19" t="n"/>
      <c r="F49" s="19" t="n"/>
      <c r="G49" s="19" t="n"/>
      <c r="H49" s="18">
        <f>IF(D49="","",IF(D49="No","Lost",IF(E49="Dofollow","Live","Live (nofollow)")))</f>
        <v/>
      </c>
      <c r="I49" s="19" t="n"/>
    </row>
    <row r="50">
      <c r="A50" s="19" t="n"/>
      <c r="B50" s="19" t="n"/>
      <c r="C50" s="21" t="n"/>
      <c r="D50" s="19" t="n"/>
      <c r="E50" s="19" t="n"/>
      <c r="F50" s="19" t="n"/>
      <c r="G50" s="19" t="n"/>
      <c r="H50" s="18">
        <f>IF(D50="","",IF(D50="No","Lost",IF(E50="Dofollow","Live","Live (nofollow)")))</f>
        <v/>
      </c>
      <c r="I50" s="19" t="n"/>
    </row>
    <row r="51">
      <c r="A51" s="19" t="n"/>
      <c r="B51" s="19" t="n"/>
      <c r="C51" s="21" t="n"/>
      <c r="D51" s="19" t="n"/>
      <c r="E51" s="19" t="n"/>
      <c r="F51" s="19" t="n"/>
      <c r="G51" s="19" t="n"/>
      <c r="H51" s="18">
        <f>IF(D51="","",IF(D51="No","Lost",IF(E51="Dofollow","Live","Live (nofollow)")))</f>
        <v/>
      </c>
      <c r="I51" s="19" t="n"/>
    </row>
    <row r="52">
      <c r="A52" s="19" t="n"/>
      <c r="B52" s="19" t="n"/>
      <c r="C52" s="21" t="n"/>
      <c r="D52" s="19" t="n"/>
      <c r="E52" s="19" t="n"/>
      <c r="F52" s="19" t="n"/>
      <c r="G52" s="19" t="n"/>
      <c r="H52" s="18">
        <f>IF(D52="","",IF(D52="No","Lost",IF(E52="Dofollow","Live","Live (nofollow)")))</f>
        <v/>
      </c>
      <c r="I52" s="19" t="n"/>
    </row>
    <row r="53">
      <c r="A53" s="19" t="n"/>
      <c r="B53" s="19" t="n"/>
      <c r="C53" s="21" t="n"/>
      <c r="D53" s="19" t="n"/>
      <c r="E53" s="19" t="n"/>
      <c r="F53" s="19" t="n"/>
      <c r="G53" s="19" t="n"/>
      <c r="H53" s="18">
        <f>IF(D53="","",IF(D53="No","Lost",IF(E53="Dofollow","Live","Live (nofollow)")))</f>
        <v/>
      </c>
      <c r="I53" s="19" t="n"/>
    </row>
    <row r="54">
      <c r="A54" s="19" t="n"/>
      <c r="B54" s="19" t="n"/>
      <c r="C54" s="21" t="n"/>
      <c r="D54" s="19" t="n"/>
      <c r="E54" s="19" t="n"/>
      <c r="F54" s="19" t="n"/>
      <c r="G54" s="19" t="n"/>
      <c r="H54" s="18">
        <f>IF(D54="","",IF(D54="No","Lost",IF(E54="Dofollow","Live","Live (nofollow)")))</f>
        <v/>
      </c>
      <c r="I54" s="19" t="n"/>
    </row>
    <row r="55">
      <c r="A55" s="19" t="n"/>
      <c r="B55" s="19" t="n"/>
      <c r="C55" s="21" t="n"/>
      <c r="D55" s="19" t="n"/>
      <c r="E55" s="19" t="n"/>
      <c r="F55" s="19" t="n"/>
      <c r="G55" s="19" t="n"/>
      <c r="H55" s="18">
        <f>IF(D55="","",IF(D55="No","Lost",IF(E55="Dofollow","Live","Live (nofollow)")))</f>
        <v/>
      </c>
      <c r="I55" s="19" t="n"/>
    </row>
    <row r="56">
      <c r="A56" s="19" t="n"/>
      <c r="B56" s="19" t="n"/>
      <c r="C56" s="21" t="n"/>
      <c r="D56" s="19" t="n"/>
      <c r="E56" s="19" t="n"/>
      <c r="F56" s="19" t="n"/>
      <c r="G56" s="19" t="n"/>
      <c r="H56" s="18">
        <f>IF(D56="","",IF(D56="No","Lost",IF(E56="Dofollow","Live","Live (nofollow)")))</f>
        <v/>
      </c>
      <c r="I56" s="19" t="n"/>
    </row>
    <row r="57">
      <c r="A57" s="19" t="n"/>
      <c r="B57" s="19" t="n"/>
      <c r="C57" s="21" t="n"/>
      <c r="D57" s="19" t="n"/>
      <c r="E57" s="19" t="n"/>
      <c r="F57" s="19" t="n"/>
      <c r="G57" s="19" t="n"/>
      <c r="H57" s="18">
        <f>IF(D57="","",IF(D57="No","Lost",IF(E57="Dofollow","Live","Live (nofollow)")))</f>
        <v/>
      </c>
      <c r="I57" s="19" t="n"/>
    </row>
    <row r="58">
      <c r="A58" s="19" t="n"/>
      <c r="B58" s="19" t="n"/>
      <c r="C58" s="21" t="n"/>
      <c r="D58" s="19" t="n"/>
      <c r="E58" s="19" t="n"/>
      <c r="F58" s="19" t="n"/>
      <c r="G58" s="19" t="n"/>
      <c r="H58" s="18">
        <f>IF(D58="","",IF(D58="No","Lost",IF(E58="Dofollow","Live","Live (nofollow)")))</f>
        <v/>
      </c>
      <c r="I58" s="19" t="n"/>
    </row>
    <row r="59">
      <c r="A59" s="19" t="n"/>
      <c r="B59" s="19" t="n"/>
      <c r="C59" s="21" t="n"/>
      <c r="D59" s="19" t="n"/>
      <c r="E59" s="19" t="n"/>
      <c r="F59" s="19" t="n"/>
      <c r="G59" s="19" t="n"/>
      <c r="H59" s="18">
        <f>IF(D59="","",IF(D59="No","Lost",IF(E59="Dofollow","Live","Live (nofollow)")))</f>
        <v/>
      </c>
      <c r="I59" s="19" t="n"/>
    </row>
    <row r="60">
      <c r="A60" s="19" t="n"/>
      <c r="B60" s="19" t="n"/>
      <c r="C60" s="21" t="n"/>
      <c r="D60" s="19" t="n"/>
      <c r="E60" s="19" t="n"/>
      <c r="F60" s="19" t="n"/>
      <c r="G60" s="19" t="n"/>
      <c r="H60" s="18">
        <f>IF(D60="","",IF(D60="No","Lost",IF(E60="Dofollow","Live","Live (nofollow)")))</f>
        <v/>
      </c>
      <c r="I60" s="19" t="n"/>
    </row>
    <row r="61">
      <c r="A61" s="19" t="n"/>
      <c r="B61" s="19" t="n"/>
      <c r="C61" s="21" t="n"/>
      <c r="D61" s="19" t="n"/>
      <c r="E61" s="19" t="n"/>
      <c r="F61" s="19" t="n"/>
      <c r="G61" s="19" t="n"/>
      <c r="H61" s="18">
        <f>IF(D61="","",IF(D61="No","Lost",IF(E61="Dofollow","Live","Live (nofollow)")))</f>
        <v/>
      </c>
      <c r="I61" s="19" t="n"/>
    </row>
    <row r="62">
      <c r="A62" s="19" t="n"/>
      <c r="B62" s="19" t="n"/>
      <c r="C62" s="21" t="n"/>
      <c r="D62" s="19" t="n"/>
      <c r="E62" s="19" t="n"/>
      <c r="F62" s="19" t="n"/>
      <c r="G62" s="19" t="n"/>
      <c r="H62" s="18">
        <f>IF(D62="","",IF(D62="No","Lost",IF(E62="Dofollow","Live","Live (nofollow)")))</f>
        <v/>
      </c>
      <c r="I62" s="19" t="n"/>
    </row>
    <row r="63">
      <c r="A63" s="19" t="n"/>
      <c r="B63" s="19" t="n"/>
      <c r="C63" s="21" t="n"/>
      <c r="D63" s="19" t="n"/>
      <c r="E63" s="19" t="n"/>
      <c r="F63" s="19" t="n"/>
      <c r="G63" s="19" t="n"/>
      <c r="H63" s="18">
        <f>IF(D63="","",IF(D63="No","Lost",IF(E63="Dofollow","Live","Live (nofollow)")))</f>
        <v/>
      </c>
      <c r="I63" s="19" t="n"/>
    </row>
    <row r="64">
      <c r="A64" s="19" t="n"/>
      <c r="B64" s="19" t="n"/>
      <c r="C64" s="21" t="n"/>
      <c r="D64" s="19" t="n"/>
      <c r="E64" s="19" t="n"/>
      <c r="F64" s="19" t="n"/>
      <c r="G64" s="19" t="n"/>
      <c r="H64" s="18">
        <f>IF(D64="","",IF(D64="No","Lost",IF(E64="Dofollow","Live","Live (nofollow)")))</f>
        <v/>
      </c>
      <c r="I64" s="19" t="n"/>
    </row>
    <row r="65">
      <c r="A65" s="19" t="n"/>
      <c r="B65" s="19" t="n"/>
      <c r="C65" s="21" t="n"/>
      <c r="D65" s="19" t="n"/>
      <c r="E65" s="19" t="n"/>
      <c r="F65" s="19" t="n"/>
      <c r="G65" s="19" t="n"/>
      <c r="H65" s="18">
        <f>IF(D65="","",IF(D65="No","Lost",IF(E65="Dofollow","Live","Live (nofollow)")))</f>
        <v/>
      </c>
      <c r="I65" s="19" t="n"/>
    </row>
    <row r="66">
      <c r="A66" s="19" t="n"/>
      <c r="B66" s="19" t="n"/>
      <c r="C66" s="21" t="n"/>
      <c r="D66" s="19" t="n"/>
      <c r="E66" s="19" t="n"/>
      <c r="F66" s="19" t="n"/>
      <c r="G66" s="19" t="n"/>
      <c r="H66" s="18">
        <f>IF(D66="","",IF(D66="No","Lost",IF(E66="Dofollow","Live","Live (nofollow)")))</f>
        <v/>
      </c>
      <c r="I66" s="19" t="n"/>
    </row>
    <row r="67">
      <c r="A67" s="19" t="n"/>
      <c r="B67" s="19" t="n"/>
      <c r="C67" s="21" t="n"/>
      <c r="D67" s="19" t="n"/>
      <c r="E67" s="19" t="n"/>
      <c r="F67" s="19" t="n"/>
      <c r="G67" s="19" t="n"/>
      <c r="H67" s="18">
        <f>IF(D67="","",IF(D67="No","Lost",IF(E67="Dofollow","Live","Live (nofollow)")))</f>
        <v/>
      </c>
      <c r="I67" s="19" t="n"/>
    </row>
    <row r="68">
      <c r="A68" s="19" t="n"/>
      <c r="B68" s="19" t="n"/>
      <c r="C68" s="21" t="n"/>
      <c r="D68" s="19" t="n"/>
      <c r="E68" s="19" t="n"/>
      <c r="F68" s="19" t="n"/>
      <c r="G68" s="19" t="n"/>
      <c r="H68" s="18">
        <f>IF(D68="","",IF(D68="No","Lost",IF(E68="Dofollow","Live","Live (nofollow)")))</f>
        <v/>
      </c>
      <c r="I68" s="19" t="n"/>
    </row>
    <row r="69">
      <c r="A69" s="19" t="n"/>
      <c r="B69" s="19" t="n"/>
      <c r="C69" s="21" t="n"/>
      <c r="D69" s="19" t="n"/>
      <c r="E69" s="19" t="n"/>
      <c r="F69" s="19" t="n"/>
      <c r="G69" s="19" t="n"/>
      <c r="H69" s="18">
        <f>IF(D69="","",IF(D69="No","Lost",IF(E69="Dofollow","Live","Live (nofollow)")))</f>
        <v/>
      </c>
      <c r="I69" s="19" t="n"/>
    </row>
    <row r="70">
      <c r="A70" s="19" t="n"/>
      <c r="B70" s="19" t="n"/>
      <c r="C70" s="21" t="n"/>
      <c r="D70" s="19" t="n"/>
      <c r="E70" s="19" t="n"/>
      <c r="F70" s="19" t="n"/>
      <c r="G70" s="19" t="n"/>
      <c r="H70" s="18">
        <f>IF(D70="","",IF(D70="No","Lost",IF(E70="Dofollow","Live","Live (nofollow)")))</f>
        <v/>
      </c>
      <c r="I70" s="19" t="n"/>
    </row>
    <row r="71">
      <c r="A71" s="19" t="n"/>
      <c r="B71" s="19" t="n"/>
      <c r="C71" s="21" t="n"/>
      <c r="D71" s="19" t="n"/>
      <c r="E71" s="19" t="n"/>
      <c r="F71" s="19" t="n"/>
      <c r="G71" s="19" t="n"/>
      <c r="H71" s="18">
        <f>IF(D71="","",IF(D71="No","Lost",IF(E71="Dofollow","Live","Live (nofollow)")))</f>
        <v/>
      </c>
      <c r="I71" s="19" t="n"/>
    </row>
    <row r="72">
      <c r="A72" s="19" t="n"/>
      <c r="B72" s="19" t="n"/>
      <c r="C72" s="21" t="n"/>
      <c r="D72" s="19" t="n"/>
      <c r="E72" s="19" t="n"/>
      <c r="F72" s="19" t="n"/>
      <c r="G72" s="19" t="n"/>
      <c r="H72" s="18">
        <f>IF(D72="","",IF(D72="No","Lost",IF(E72="Dofollow","Live","Live (nofollow)")))</f>
        <v/>
      </c>
      <c r="I72" s="19" t="n"/>
    </row>
    <row r="73">
      <c r="A73" s="19" t="n"/>
      <c r="B73" s="19" t="n"/>
      <c r="C73" s="21" t="n"/>
      <c r="D73" s="19" t="n"/>
      <c r="E73" s="19" t="n"/>
      <c r="F73" s="19" t="n"/>
      <c r="G73" s="19" t="n"/>
      <c r="H73" s="18">
        <f>IF(D73="","",IF(D73="No","Lost",IF(E73="Dofollow","Live","Live (nofollow)")))</f>
        <v/>
      </c>
      <c r="I73" s="19" t="n"/>
    </row>
    <row r="74">
      <c r="A74" s="19" t="n"/>
      <c r="B74" s="19" t="n"/>
      <c r="C74" s="21" t="n"/>
      <c r="D74" s="19" t="n"/>
      <c r="E74" s="19" t="n"/>
      <c r="F74" s="19" t="n"/>
      <c r="G74" s="19" t="n"/>
      <c r="H74" s="18">
        <f>IF(D74="","",IF(D74="No","Lost",IF(E74="Dofollow","Live","Live (nofollow)")))</f>
        <v/>
      </c>
      <c r="I74" s="19" t="n"/>
    </row>
    <row r="75">
      <c r="A75" s="19" t="n"/>
      <c r="B75" s="19" t="n"/>
      <c r="C75" s="21" t="n"/>
      <c r="D75" s="19" t="n"/>
      <c r="E75" s="19" t="n"/>
      <c r="F75" s="19" t="n"/>
      <c r="G75" s="19" t="n"/>
      <c r="H75" s="18">
        <f>IF(D75="","",IF(D75="No","Lost",IF(E75="Dofollow","Live","Live (nofollow)")))</f>
        <v/>
      </c>
      <c r="I75" s="19" t="n"/>
    </row>
    <row r="76">
      <c r="A76" s="19" t="n"/>
      <c r="B76" s="19" t="n"/>
      <c r="C76" s="21" t="n"/>
      <c r="D76" s="19" t="n"/>
      <c r="E76" s="19" t="n"/>
      <c r="F76" s="19" t="n"/>
      <c r="G76" s="19" t="n"/>
      <c r="H76" s="18">
        <f>IF(D76="","",IF(D76="No","Lost",IF(E76="Dofollow","Live","Live (nofollow)")))</f>
        <v/>
      </c>
      <c r="I76" s="19" t="n"/>
    </row>
    <row r="77">
      <c r="A77" s="19" t="n"/>
      <c r="B77" s="19" t="n"/>
      <c r="C77" s="21" t="n"/>
      <c r="D77" s="19" t="n"/>
      <c r="E77" s="19" t="n"/>
      <c r="F77" s="19" t="n"/>
      <c r="G77" s="19" t="n"/>
      <c r="H77" s="18">
        <f>IF(D77="","",IF(D77="No","Lost",IF(E77="Dofollow","Live","Live (nofollow)")))</f>
        <v/>
      </c>
      <c r="I77" s="19" t="n"/>
    </row>
    <row r="78">
      <c r="A78" s="19" t="n"/>
      <c r="B78" s="19" t="n"/>
      <c r="C78" s="21" t="n"/>
      <c r="D78" s="19" t="n"/>
      <c r="E78" s="19" t="n"/>
      <c r="F78" s="19" t="n"/>
      <c r="G78" s="19" t="n"/>
      <c r="H78" s="18">
        <f>IF(D78="","",IF(D78="No","Lost",IF(E78="Dofollow","Live","Live (nofollow)")))</f>
        <v/>
      </c>
      <c r="I78" s="19" t="n"/>
    </row>
    <row r="79">
      <c r="A79" s="19" t="n"/>
      <c r="B79" s="19" t="n"/>
      <c r="C79" s="21" t="n"/>
      <c r="D79" s="19" t="n"/>
      <c r="E79" s="19" t="n"/>
      <c r="F79" s="19" t="n"/>
      <c r="G79" s="19" t="n"/>
      <c r="H79" s="18">
        <f>IF(D79="","",IF(D79="No","Lost",IF(E79="Dofollow","Live","Live (nofollow)")))</f>
        <v/>
      </c>
      <c r="I79" s="19" t="n"/>
    </row>
    <row r="80">
      <c r="A80" s="19" t="n"/>
      <c r="B80" s="19" t="n"/>
      <c r="C80" s="21" t="n"/>
      <c r="D80" s="19" t="n"/>
      <c r="E80" s="19" t="n"/>
      <c r="F80" s="19" t="n"/>
      <c r="G80" s="19" t="n"/>
      <c r="H80" s="18">
        <f>IF(D80="","",IF(D80="No","Lost",IF(E80="Dofollow","Live","Live (nofollow)")))</f>
        <v/>
      </c>
      <c r="I80" s="19" t="n"/>
    </row>
    <row r="81">
      <c r="A81" s="19" t="n"/>
      <c r="B81" s="19" t="n"/>
      <c r="C81" s="21" t="n"/>
      <c r="D81" s="19" t="n"/>
      <c r="E81" s="19" t="n"/>
      <c r="F81" s="19" t="n"/>
      <c r="G81" s="19" t="n"/>
      <c r="H81" s="18">
        <f>IF(D81="","",IF(D81="No","Lost",IF(E81="Dofollow","Live","Live (nofollow)")))</f>
        <v/>
      </c>
      <c r="I81" s="19" t="n"/>
    </row>
    <row r="82">
      <c r="A82" s="19" t="n"/>
      <c r="B82" s="19" t="n"/>
      <c r="C82" s="21" t="n"/>
      <c r="D82" s="19" t="n"/>
      <c r="E82" s="19" t="n"/>
      <c r="F82" s="19" t="n"/>
      <c r="G82" s="19" t="n"/>
      <c r="H82" s="18">
        <f>IF(D82="","",IF(D82="No","Lost",IF(E82="Dofollow","Live","Live (nofollow)")))</f>
        <v/>
      </c>
      <c r="I82" s="19" t="n"/>
    </row>
    <row r="83">
      <c r="A83" s="19" t="n"/>
      <c r="B83" s="19" t="n"/>
      <c r="C83" s="21" t="n"/>
      <c r="D83" s="19" t="n"/>
      <c r="E83" s="19" t="n"/>
      <c r="F83" s="19" t="n"/>
      <c r="G83" s="19" t="n"/>
      <c r="H83" s="18">
        <f>IF(D83="","",IF(D83="No","Lost",IF(E83="Dofollow","Live","Live (nofollow)")))</f>
        <v/>
      </c>
      <c r="I83" s="19" t="n"/>
    </row>
    <row r="84">
      <c r="A84" s="19" t="n"/>
      <c r="B84" s="19" t="n"/>
      <c r="C84" s="21" t="n"/>
      <c r="D84" s="19" t="n"/>
      <c r="E84" s="19" t="n"/>
      <c r="F84" s="19" t="n"/>
      <c r="G84" s="19" t="n"/>
      <c r="H84" s="18">
        <f>IF(D84="","",IF(D84="No","Lost",IF(E84="Dofollow","Live","Live (nofollow)")))</f>
        <v/>
      </c>
      <c r="I84" s="19" t="n"/>
    </row>
    <row r="85">
      <c r="A85" s="19" t="n"/>
      <c r="B85" s="19" t="n"/>
      <c r="C85" s="21" t="n"/>
      <c r="D85" s="19" t="n"/>
      <c r="E85" s="19" t="n"/>
      <c r="F85" s="19" t="n"/>
      <c r="G85" s="19" t="n"/>
      <c r="H85" s="18">
        <f>IF(D85="","",IF(D85="No","Lost",IF(E85="Dofollow","Live","Live (nofollow)")))</f>
        <v/>
      </c>
      <c r="I85" s="19" t="n"/>
    </row>
    <row r="86">
      <c r="A86" s="19" t="n"/>
      <c r="B86" s="19" t="n"/>
      <c r="C86" s="21" t="n"/>
      <c r="D86" s="19" t="n"/>
      <c r="E86" s="19" t="n"/>
      <c r="F86" s="19" t="n"/>
      <c r="G86" s="19" t="n"/>
      <c r="H86" s="18">
        <f>IF(D86="","",IF(D86="No","Lost",IF(E86="Dofollow","Live","Live (nofollow)")))</f>
        <v/>
      </c>
      <c r="I86" s="19" t="n"/>
    </row>
    <row r="87">
      <c r="A87" s="19" t="n"/>
      <c r="B87" s="19" t="n"/>
      <c r="C87" s="21" t="n"/>
      <c r="D87" s="19" t="n"/>
      <c r="E87" s="19" t="n"/>
      <c r="F87" s="19" t="n"/>
      <c r="G87" s="19" t="n"/>
      <c r="H87" s="18">
        <f>IF(D87="","",IF(D87="No","Lost",IF(E87="Dofollow","Live","Live (nofollow)")))</f>
        <v/>
      </c>
      <c r="I87" s="19" t="n"/>
    </row>
    <row r="88">
      <c r="A88" s="19" t="n"/>
      <c r="B88" s="19" t="n"/>
      <c r="C88" s="21" t="n"/>
      <c r="D88" s="19" t="n"/>
      <c r="E88" s="19" t="n"/>
      <c r="F88" s="19" t="n"/>
      <c r="G88" s="19" t="n"/>
      <c r="H88" s="18">
        <f>IF(D88="","",IF(D88="No","Lost",IF(E88="Dofollow","Live","Live (nofollow)")))</f>
        <v/>
      </c>
      <c r="I88" s="19" t="n"/>
    </row>
    <row r="89">
      <c r="A89" s="19" t="n"/>
      <c r="B89" s="19" t="n"/>
      <c r="C89" s="21" t="n"/>
      <c r="D89" s="19" t="n"/>
      <c r="E89" s="19" t="n"/>
      <c r="F89" s="19" t="n"/>
      <c r="G89" s="19" t="n"/>
      <c r="H89" s="18">
        <f>IF(D89="","",IF(D89="No","Lost",IF(E89="Dofollow","Live","Live (nofollow)")))</f>
        <v/>
      </c>
      <c r="I89" s="19" t="n"/>
    </row>
    <row r="90">
      <c r="A90" s="19" t="n"/>
      <c r="B90" s="19" t="n"/>
      <c r="C90" s="21" t="n"/>
      <c r="D90" s="19" t="n"/>
      <c r="E90" s="19" t="n"/>
      <c r="F90" s="19" t="n"/>
      <c r="G90" s="19" t="n"/>
      <c r="H90" s="18">
        <f>IF(D90="","",IF(D90="No","Lost",IF(E90="Dofollow","Live","Live (nofollow)")))</f>
        <v/>
      </c>
      <c r="I90" s="19" t="n"/>
    </row>
    <row r="91">
      <c r="A91" s="19" t="n"/>
      <c r="B91" s="19" t="n"/>
      <c r="C91" s="21" t="n"/>
      <c r="D91" s="19" t="n"/>
      <c r="E91" s="19" t="n"/>
      <c r="F91" s="19" t="n"/>
      <c r="G91" s="19" t="n"/>
      <c r="H91" s="18">
        <f>IF(D91="","",IF(D91="No","Lost",IF(E91="Dofollow","Live","Live (nofollow)")))</f>
        <v/>
      </c>
      <c r="I91" s="19" t="n"/>
    </row>
    <row r="92">
      <c r="A92" s="19" t="n"/>
      <c r="B92" s="19" t="n"/>
      <c r="C92" s="21" t="n"/>
      <c r="D92" s="19" t="n"/>
      <c r="E92" s="19" t="n"/>
      <c r="F92" s="19" t="n"/>
      <c r="G92" s="19" t="n"/>
      <c r="H92" s="18">
        <f>IF(D92="","",IF(D92="No","Lost",IF(E92="Dofollow","Live","Live (nofollow)")))</f>
        <v/>
      </c>
      <c r="I92" s="19" t="n"/>
    </row>
    <row r="93">
      <c r="A93" s="19" t="n"/>
      <c r="B93" s="19" t="n"/>
      <c r="C93" s="21" t="n"/>
      <c r="D93" s="19" t="n"/>
      <c r="E93" s="19" t="n"/>
      <c r="F93" s="19" t="n"/>
      <c r="G93" s="19" t="n"/>
      <c r="H93" s="18">
        <f>IF(D93="","",IF(D93="No","Lost",IF(E93="Dofollow","Live","Live (nofollow)")))</f>
        <v/>
      </c>
      <c r="I93" s="19" t="n"/>
    </row>
    <row r="94">
      <c r="A94" s="19" t="n"/>
      <c r="B94" s="19" t="n"/>
      <c r="C94" s="21" t="n"/>
      <c r="D94" s="19" t="n"/>
      <c r="E94" s="19" t="n"/>
      <c r="F94" s="19" t="n"/>
      <c r="G94" s="19" t="n"/>
      <c r="H94" s="18">
        <f>IF(D94="","",IF(D94="No","Lost",IF(E94="Dofollow","Live","Live (nofollow)")))</f>
        <v/>
      </c>
      <c r="I94" s="19" t="n"/>
    </row>
    <row r="95">
      <c r="A95" s="19" t="n"/>
      <c r="B95" s="19" t="n"/>
      <c r="C95" s="21" t="n"/>
      <c r="D95" s="19" t="n"/>
      <c r="E95" s="19" t="n"/>
      <c r="F95" s="19" t="n"/>
      <c r="G95" s="19" t="n"/>
      <c r="H95" s="18">
        <f>IF(D95="","",IF(D95="No","Lost",IF(E95="Dofollow","Live","Live (nofollow)")))</f>
        <v/>
      </c>
      <c r="I95" s="19" t="n"/>
    </row>
    <row r="96">
      <c r="A96" s="19" t="n"/>
      <c r="B96" s="19" t="n"/>
      <c r="C96" s="21" t="n"/>
      <c r="D96" s="19" t="n"/>
      <c r="E96" s="19" t="n"/>
      <c r="F96" s="19" t="n"/>
      <c r="G96" s="19" t="n"/>
      <c r="H96" s="18">
        <f>IF(D96="","",IF(D96="No","Lost",IF(E96="Dofollow","Live","Live (nofollow)")))</f>
        <v/>
      </c>
      <c r="I96" s="19" t="n"/>
    </row>
    <row r="97">
      <c r="A97" s="19" t="n"/>
      <c r="B97" s="19" t="n"/>
      <c r="C97" s="21" t="n"/>
      <c r="D97" s="19" t="n"/>
      <c r="E97" s="19" t="n"/>
      <c r="F97" s="19" t="n"/>
      <c r="G97" s="19" t="n"/>
      <c r="H97" s="18">
        <f>IF(D97="","",IF(D97="No","Lost",IF(E97="Dofollow","Live","Live (nofollow)")))</f>
        <v/>
      </c>
      <c r="I97" s="19" t="n"/>
    </row>
    <row r="98">
      <c r="A98" s="19" t="n"/>
      <c r="B98" s="19" t="n"/>
      <c r="C98" s="21" t="n"/>
      <c r="D98" s="19" t="n"/>
      <c r="E98" s="19" t="n"/>
      <c r="F98" s="19" t="n"/>
      <c r="G98" s="19" t="n"/>
      <c r="H98" s="18">
        <f>IF(D98="","",IF(D98="No","Lost",IF(E98="Dofollow","Live","Live (nofollow)")))</f>
        <v/>
      </c>
      <c r="I98" s="19" t="n"/>
    </row>
    <row r="99">
      <c r="A99" s="19" t="n"/>
      <c r="B99" s="19" t="n"/>
      <c r="C99" s="21" t="n"/>
      <c r="D99" s="19" t="n"/>
      <c r="E99" s="19" t="n"/>
      <c r="F99" s="19" t="n"/>
      <c r="G99" s="19" t="n"/>
      <c r="H99" s="18">
        <f>IF(D99="","",IF(D99="No","Lost",IF(E99="Dofollow","Live","Live (nofollow)")))</f>
        <v/>
      </c>
      <c r="I99" s="19" t="n"/>
    </row>
    <row r="100">
      <c r="A100" s="19" t="n"/>
      <c r="B100" s="19" t="n"/>
      <c r="C100" s="21" t="n"/>
      <c r="D100" s="19" t="n"/>
      <c r="E100" s="19" t="n"/>
      <c r="F100" s="19" t="n"/>
      <c r="G100" s="19" t="n"/>
      <c r="H100" s="18">
        <f>IF(D100="","",IF(D100="No","Lost",IF(E100="Dofollow","Live","Live (nofollow)")))</f>
        <v/>
      </c>
      <c r="I100" s="19" t="n"/>
    </row>
    <row r="101">
      <c r="A101" s="19" t="n"/>
      <c r="B101" s="19" t="n"/>
      <c r="C101" s="21" t="n"/>
      <c r="D101" s="19" t="n"/>
      <c r="E101" s="19" t="n"/>
      <c r="F101" s="19" t="n"/>
      <c r="G101" s="19" t="n"/>
      <c r="H101" s="18">
        <f>IF(D101="","",IF(D101="No","Lost",IF(E101="Dofollow","Live","Live (nofollow)")))</f>
        <v/>
      </c>
      <c r="I101" s="19" t="n"/>
    </row>
    <row r="102">
      <c r="A102" s="19" t="n"/>
      <c r="B102" s="19" t="n"/>
      <c r="C102" s="21" t="n"/>
      <c r="D102" s="19" t="n"/>
      <c r="E102" s="19" t="n"/>
      <c r="F102" s="19" t="n"/>
      <c r="G102" s="19" t="n"/>
      <c r="H102" s="18">
        <f>IF(D102="","",IF(D102="No","Lost",IF(E102="Dofollow","Live","Live (nofollow)")))</f>
        <v/>
      </c>
      <c r="I102" s="19" t="n"/>
    </row>
    <row r="103">
      <c r="A103" s="19" t="n"/>
      <c r="B103" s="19" t="n"/>
      <c r="C103" s="21" t="n"/>
      <c r="D103" s="19" t="n"/>
      <c r="E103" s="19" t="n"/>
      <c r="F103" s="19" t="n"/>
      <c r="G103" s="19" t="n"/>
      <c r="H103" s="18">
        <f>IF(D103="","",IF(D103="No","Lost",IF(E103="Dofollow","Live","Live (nofollow)")))</f>
        <v/>
      </c>
      <c r="I103" s="19" t="n"/>
    </row>
    <row r="104">
      <c r="A104" s="19" t="n"/>
      <c r="B104" s="19" t="n"/>
      <c r="C104" s="21" t="n"/>
      <c r="D104" s="19" t="n"/>
      <c r="E104" s="19" t="n"/>
      <c r="F104" s="19" t="n"/>
      <c r="G104" s="19" t="n"/>
      <c r="H104" s="18">
        <f>IF(D104="","",IF(D104="No","Lost",IF(E104="Dofollow","Live","Live (nofollow)")))</f>
        <v/>
      </c>
      <c r="I104" s="19" t="n"/>
    </row>
    <row r="105">
      <c r="A105" s="19" t="n"/>
      <c r="B105" s="19" t="n"/>
      <c r="C105" s="21" t="n"/>
      <c r="D105" s="19" t="n"/>
      <c r="E105" s="19" t="n"/>
      <c r="F105" s="19" t="n"/>
      <c r="G105" s="19" t="n"/>
      <c r="H105" s="18">
        <f>IF(D105="","",IF(D105="No","Lost",IF(E105="Dofollow","Live","Live (nofollow)")))</f>
        <v/>
      </c>
      <c r="I105" s="19" t="n"/>
    </row>
    <row r="106">
      <c r="A106" s="19" t="n"/>
      <c r="B106" s="19" t="n"/>
      <c r="C106" s="21" t="n"/>
      <c r="D106" s="19" t="n"/>
      <c r="E106" s="19" t="n"/>
      <c r="F106" s="19" t="n"/>
      <c r="G106" s="19" t="n"/>
      <c r="H106" s="18">
        <f>IF(D106="","",IF(D106="No","Lost",IF(E106="Dofollow","Live","Live (nofollow)")))</f>
        <v/>
      </c>
      <c r="I106" s="19" t="n"/>
    </row>
    <row r="107">
      <c r="A107" s="19" t="n"/>
      <c r="B107" s="19" t="n"/>
      <c r="C107" s="21" t="n"/>
      <c r="D107" s="19" t="n"/>
      <c r="E107" s="19" t="n"/>
      <c r="F107" s="19" t="n"/>
      <c r="G107" s="19" t="n"/>
      <c r="H107" s="18">
        <f>IF(D107="","",IF(D107="No","Lost",IF(E107="Dofollow","Live","Live (nofollow)")))</f>
        <v/>
      </c>
      <c r="I107" s="19" t="n"/>
    </row>
    <row r="108">
      <c r="A108" s="19" t="n"/>
      <c r="B108" s="19" t="n"/>
      <c r="C108" s="21" t="n"/>
      <c r="D108" s="19" t="n"/>
      <c r="E108" s="19" t="n"/>
      <c r="F108" s="19" t="n"/>
      <c r="G108" s="19" t="n"/>
      <c r="H108" s="18">
        <f>IF(D108="","",IF(D108="No","Lost",IF(E108="Dofollow","Live","Live (nofollow)")))</f>
        <v/>
      </c>
      <c r="I108" s="19" t="n"/>
    </row>
    <row r="109">
      <c r="A109" s="19" t="n"/>
      <c r="B109" s="19" t="n"/>
      <c r="C109" s="21" t="n"/>
      <c r="D109" s="19" t="n"/>
      <c r="E109" s="19" t="n"/>
      <c r="F109" s="19" t="n"/>
      <c r="G109" s="19" t="n"/>
      <c r="H109" s="18">
        <f>IF(D109="","",IF(D109="No","Lost",IF(E109="Dofollow","Live","Live (nofollow)")))</f>
        <v/>
      </c>
      <c r="I109" s="19" t="n"/>
    </row>
    <row r="110">
      <c r="A110" s="19" t="n"/>
      <c r="B110" s="19" t="n"/>
      <c r="C110" s="21" t="n"/>
      <c r="D110" s="19" t="n"/>
      <c r="E110" s="19" t="n"/>
      <c r="F110" s="19" t="n"/>
      <c r="G110" s="19" t="n"/>
      <c r="H110" s="18">
        <f>IF(D110="","",IF(D110="No","Lost",IF(E110="Dofollow","Live","Live (nofollow)")))</f>
        <v/>
      </c>
      <c r="I110" s="19" t="n"/>
    </row>
    <row r="111">
      <c r="A111" s="19" t="n"/>
      <c r="B111" s="19" t="n"/>
      <c r="C111" s="21" t="n"/>
      <c r="D111" s="19" t="n"/>
      <c r="E111" s="19" t="n"/>
      <c r="F111" s="19" t="n"/>
      <c r="G111" s="19" t="n"/>
      <c r="H111" s="18">
        <f>IF(D111="","",IF(D111="No","Lost",IF(E111="Dofollow","Live","Live (nofollow)")))</f>
        <v/>
      </c>
      <c r="I111" s="19" t="n"/>
    </row>
    <row r="112">
      <c r="A112" s="19" t="n"/>
      <c r="B112" s="19" t="n"/>
      <c r="C112" s="21" t="n"/>
      <c r="D112" s="19" t="n"/>
      <c r="E112" s="19" t="n"/>
      <c r="F112" s="19" t="n"/>
      <c r="G112" s="19" t="n"/>
      <c r="H112" s="18">
        <f>IF(D112="","",IF(D112="No","Lost",IF(E112="Dofollow","Live","Live (nofollow)")))</f>
        <v/>
      </c>
      <c r="I112" s="19" t="n"/>
    </row>
    <row r="113">
      <c r="A113" s="19" t="n"/>
      <c r="B113" s="19" t="n"/>
      <c r="C113" s="21" t="n"/>
      <c r="D113" s="19" t="n"/>
      <c r="E113" s="19" t="n"/>
      <c r="F113" s="19" t="n"/>
      <c r="G113" s="19" t="n"/>
      <c r="H113" s="18">
        <f>IF(D113="","",IF(D113="No","Lost",IF(E113="Dofollow","Live","Live (nofollow)")))</f>
        <v/>
      </c>
      <c r="I113" s="19" t="n"/>
    </row>
    <row r="114">
      <c r="A114" s="19" t="n"/>
      <c r="B114" s="19" t="n"/>
      <c r="C114" s="21" t="n"/>
      <c r="D114" s="19" t="n"/>
      <c r="E114" s="19" t="n"/>
      <c r="F114" s="19" t="n"/>
      <c r="G114" s="19" t="n"/>
      <c r="H114" s="18">
        <f>IF(D114="","",IF(D114="No","Lost",IF(E114="Dofollow","Live","Live (nofollow)")))</f>
        <v/>
      </c>
      <c r="I114" s="19" t="n"/>
    </row>
    <row r="115">
      <c r="A115" s="19" t="n"/>
      <c r="B115" s="19" t="n"/>
      <c r="C115" s="21" t="n"/>
      <c r="D115" s="19" t="n"/>
      <c r="E115" s="19" t="n"/>
      <c r="F115" s="19" t="n"/>
      <c r="G115" s="19" t="n"/>
      <c r="H115" s="18">
        <f>IF(D115="","",IF(D115="No","Lost",IF(E115="Dofollow","Live","Live (nofollow)")))</f>
        <v/>
      </c>
      <c r="I115" s="19" t="n"/>
    </row>
    <row r="116">
      <c r="A116" s="19" t="n"/>
      <c r="B116" s="19" t="n"/>
      <c r="C116" s="21" t="n"/>
      <c r="D116" s="19" t="n"/>
      <c r="E116" s="19" t="n"/>
      <c r="F116" s="19" t="n"/>
      <c r="G116" s="19" t="n"/>
      <c r="H116" s="18">
        <f>IF(D116="","",IF(D116="No","Lost",IF(E116="Dofollow","Live","Live (nofollow)")))</f>
        <v/>
      </c>
      <c r="I116" s="19" t="n"/>
    </row>
    <row r="117">
      <c r="A117" s="19" t="n"/>
      <c r="B117" s="19" t="n"/>
      <c r="C117" s="21" t="n"/>
      <c r="D117" s="19" t="n"/>
      <c r="E117" s="19" t="n"/>
      <c r="F117" s="19" t="n"/>
      <c r="G117" s="19" t="n"/>
      <c r="H117" s="18">
        <f>IF(D117="","",IF(D117="No","Lost",IF(E117="Dofollow","Live","Live (nofollow)")))</f>
        <v/>
      </c>
      <c r="I117" s="19" t="n"/>
    </row>
    <row r="118">
      <c r="A118" s="19" t="n"/>
      <c r="B118" s="19" t="n"/>
      <c r="C118" s="21" t="n"/>
      <c r="D118" s="19" t="n"/>
      <c r="E118" s="19" t="n"/>
      <c r="F118" s="19" t="n"/>
      <c r="G118" s="19" t="n"/>
      <c r="H118" s="18">
        <f>IF(D118="","",IF(D118="No","Lost",IF(E118="Dofollow","Live","Live (nofollow)")))</f>
        <v/>
      </c>
      <c r="I118" s="19" t="n"/>
    </row>
    <row r="119">
      <c r="A119" s="19" t="n"/>
      <c r="B119" s="19" t="n"/>
      <c r="C119" s="21" t="n"/>
      <c r="D119" s="19" t="n"/>
      <c r="E119" s="19" t="n"/>
      <c r="F119" s="19" t="n"/>
      <c r="G119" s="19" t="n"/>
      <c r="H119" s="18">
        <f>IF(D119="","",IF(D119="No","Lost",IF(E119="Dofollow","Live","Live (nofollow)")))</f>
        <v/>
      </c>
      <c r="I119" s="19" t="n"/>
    </row>
    <row r="120">
      <c r="A120" s="19" t="n"/>
      <c r="B120" s="19" t="n"/>
      <c r="C120" s="21" t="n"/>
      <c r="D120" s="19" t="n"/>
      <c r="E120" s="19" t="n"/>
      <c r="F120" s="19" t="n"/>
      <c r="G120" s="19" t="n"/>
      <c r="H120" s="18">
        <f>IF(D120="","",IF(D120="No","Lost",IF(E120="Dofollow","Live","Live (nofollow)")))</f>
        <v/>
      </c>
      <c r="I120" s="19" t="n"/>
    </row>
    <row r="121">
      <c r="A121" s="19" t="n"/>
      <c r="B121" s="19" t="n"/>
      <c r="C121" s="21" t="n"/>
      <c r="D121" s="19" t="n"/>
      <c r="E121" s="19" t="n"/>
      <c r="F121" s="19" t="n"/>
      <c r="G121" s="19" t="n"/>
      <c r="H121" s="18">
        <f>IF(D121="","",IF(D121="No","Lost",IF(E121="Dofollow","Live","Live (nofollow)")))</f>
        <v/>
      </c>
      <c r="I121" s="19" t="n"/>
    </row>
    <row r="122">
      <c r="A122" s="19" t="n"/>
      <c r="B122" s="19" t="n"/>
      <c r="C122" s="21" t="n"/>
      <c r="D122" s="19" t="n"/>
      <c r="E122" s="19" t="n"/>
      <c r="F122" s="19" t="n"/>
      <c r="G122" s="19" t="n"/>
      <c r="H122" s="18">
        <f>IF(D122="","",IF(D122="No","Lost",IF(E122="Dofollow","Live","Live (nofollow)")))</f>
        <v/>
      </c>
      <c r="I122" s="19" t="n"/>
    </row>
    <row r="123">
      <c r="A123" s="19" t="n"/>
      <c r="B123" s="19" t="n"/>
      <c r="C123" s="21" t="n"/>
      <c r="D123" s="19" t="n"/>
      <c r="E123" s="19" t="n"/>
      <c r="F123" s="19" t="n"/>
      <c r="G123" s="19" t="n"/>
      <c r="H123" s="18">
        <f>IF(D123="","",IF(D123="No","Lost",IF(E123="Dofollow","Live","Live (nofollow)")))</f>
        <v/>
      </c>
      <c r="I123" s="19" t="n"/>
    </row>
    <row r="124">
      <c r="A124" s="19" t="n"/>
      <c r="B124" s="19" t="n"/>
      <c r="C124" s="21" t="n"/>
      <c r="D124" s="19" t="n"/>
      <c r="E124" s="19" t="n"/>
      <c r="F124" s="19" t="n"/>
      <c r="G124" s="19" t="n"/>
      <c r="H124" s="18">
        <f>IF(D124="","",IF(D124="No","Lost",IF(E124="Dofollow","Live","Live (nofollow)")))</f>
        <v/>
      </c>
      <c r="I124" s="19" t="n"/>
    </row>
    <row r="125">
      <c r="A125" s="19" t="n"/>
      <c r="B125" s="19" t="n"/>
      <c r="C125" s="21" t="n"/>
      <c r="D125" s="19" t="n"/>
      <c r="E125" s="19" t="n"/>
      <c r="F125" s="19" t="n"/>
      <c r="G125" s="19" t="n"/>
      <c r="H125" s="18">
        <f>IF(D125="","",IF(D125="No","Lost",IF(E125="Dofollow","Live","Live (nofollow)")))</f>
        <v/>
      </c>
      <c r="I125" s="19" t="n"/>
    </row>
    <row r="126">
      <c r="A126" s="19" t="n"/>
      <c r="B126" s="19" t="n"/>
      <c r="C126" s="21" t="n"/>
      <c r="D126" s="19" t="n"/>
      <c r="E126" s="19" t="n"/>
      <c r="F126" s="19" t="n"/>
      <c r="G126" s="19" t="n"/>
      <c r="H126" s="18">
        <f>IF(D126="","",IF(D126="No","Lost",IF(E126="Dofollow","Live","Live (nofollow)")))</f>
        <v/>
      </c>
      <c r="I126" s="19" t="n"/>
    </row>
    <row r="127">
      <c r="A127" s="19" t="n"/>
      <c r="B127" s="19" t="n"/>
      <c r="C127" s="21" t="n"/>
      <c r="D127" s="19" t="n"/>
      <c r="E127" s="19" t="n"/>
      <c r="F127" s="19" t="n"/>
      <c r="G127" s="19" t="n"/>
      <c r="H127" s="18">
        <f>IF(D127="","",IF(D127="No","Lost",IF(E127="Dofollow","Live","Live (nofollow)")))</f>
        <v/>
      </c>
      <c r="I127" s="19" t="n"/>
    </row>
    <row r="128">
      <c r="A128" s="19" t="n"/>
      <c r="B128" s="19" t="n"/>
      <c r="C128" s="21" t="n"/>
      <c r="D128" s="19" t="n"/>
      <c r="E128" s="19" t="n"/>
      <c r="F128" s="19" t="n"/>
      <c r="G128" s="19" t="n"/>
      <c r="H128" s="18">
        <f>IF(D128="","",IF(D128="No","Lost",IF(E128="Dofollow","Live","Live (nofollow)")))</f>
        <v/>
      </c>
      <c r="I128" s="19" t="n"/>
    </row>
    <row r="129">
      <c r="A129" s="19" t="n"/>
      <c r="B129" s="19" t="n"/>
      <c r="C129" s="21" t="n"/>
      <c r="D129" s="19" t="n"/>
      <c r="E129" s="19" t="n"/>
      <c r="F129" s="19" t="n"/>
      <c r="G129" s="19" t="n"/>
      <c r="H129" s="18">
        <f>IF(D129="","",IF(D129="No","Lost",IF(E129="Dofollow","Live","Live (nofollow)")))</f>
        <v/>
      </c>
      <c r="I129" s="19" t="n"/>
    </row>
    <row r="130">
      <c r="A130" s="19" t="n"/>
      <c r="B130" s="19" t="n"/>
      <c r="C130" s="21" t="n"/>
      <c r="D130" s="19" t="n"/>
      <c r="E130" s="19" t="n"/>
      <c r="F130" s="19" t="n"/>
      <c r="G130" s="19" t="n"/>
      <c r="H130" s="18">
        <f>IF(D130="","",IF(D130="No","Lost",IF(E130="Dofollow","Live","Live (nofollow)")))</f>
        <v/>
      </c>
      <c r="I130" s="19" t="n"/>
    </row>
    <row r="131">
      <c r="A131" s="19" t="n"/>
      <c r="B131" s="19" t="n"/>
      <c r="C131" s="21" t="n"/>
      <c r="D131" s="19" t="n"/>
      <c r="E131" s="19" t="n"/>
      <c r="F131" s="19" t="n"/>
      <c r="G131" s="19" t="n"/>
      <c r="H131" s="18">
        <f>IF(D131="","",IF(D131="No","Lost",IF(E131="Dofollow","Live","Live (nofollow)")))</f>
        <v/>
      </c>
      <c r="I131" s="19" t="n"/>
    </row>
    <row r="132">
      <c r="A132" s="19" t="n"/>
      <c r="B132" s="19" t="n"/>
      <c r="C132" s="21" t="n"/>
      <c r="D132" s="19" t="n"/>
      <c r="E132" s="19" t="n"/>
      <c r="F132" s="19" t="n"/>
      <c r="G132" s="19" t="n"/>
      <c r="H132" s="18">
        <f>IF(D132="","",IF(D132="No","Lost",IF(E132="Dofollow","Live","Live (nofollow)")))</f>
        <v/>
      </c>
      <c r="I132" s="19" t="n"/>
    </row>
    <row r="133">
      <c r="A133" s="19" t="n"/>
      <c r="B133" s="19" t="n"/>
      <c r="C133" s="21" t="n"/>
      <c r="D133" s="19" t="n"/>
      <c r="E133" s="19" t="n"/>
      <c r="F133" s="19" t="n"/>
      <c r="G133" s="19" t="n"/>
      <c r="H133" s="18">
        <f>IF(D133="","",IF(D133="No","Lost",IF(E133="Dofollow","Live","Live (nofollow)")))</f>
        <v/>
      </c>
      <c r="I133" s="19" t="n"/>
    </row>
    <row r="134">
      <c r="A134" s="19" t="n"/>
      <c r="B134" s="19" t="n"/>
      <c r="C134" s="21" t="n"/>
      <c r="D134" s="19" t="n"/>
      <c r="E134" s="19" t="n"/>
      <c r="F134" s="19" t="n"/>
      <c r="G134" s="19" t="n"/>
      <c r="H134" s="18">
        <f>IF(D134="","",IF(D134="No","Lost",IF(E134="Dofollow","Live","Live (nofollow)")))</f>
        <v/>
      </c>
      <c r="I134" s="19" t="n"/>
    </row>
    <row r="135">
      <c r="A135" s="19" t="n"/>
      <c r="B135" s="19" t="n"/>
      <c r="C135" s="21" t="n"/>
      <c r="D135" s="19" t="n"/>
      <c r="E135" s="19" t="n"/>
      <c r="F135" s="19" t="n"/>
      <c r="G135" s="19" t="n"/>
      <c r="H135" s="18">
        <f>IF(D135="","",IF(D135="No","Lost",IF(E135="Dofollow","Live","Live (nofollow)")))</f>
        <v/>
      </c>
      <c r="I135" s="19" t="n"/>
    </row>
    <row r="136">
      <c r="A136" s="19" t="n"/>
      <c r="B136" s="19" t="n"/>
      <c r="C136" s="21" t="n"/>
      <c r="D136" s="19" t="n"/>
      <c r="E136" s="19" t="n"/>
      <c r="F136" s="19" t="n"/>
      <c r="G136" s="19" t="n"/>
      <c r="H136" s="18">
        <f>IF(D136="","",IF(D136="No","Lost",IF(E136="Dofollow","Live","Live (nofollow)")))</f>
        <v/>
      </c>
      <c r="I136" s="19" t="n"/>
    </row>
    <row r="137">
      <c r="A137" s="19" t="n"/>
      <c r="B137" s="19" t="n"/>
      <c r="C137" s="21" t="n"/>
      <c r="D137" s="19" t="n"/>
      <c r="E137" s="19" t="n"/>
      <c r="F137" s="19" t="n"/>
      <c r="G137" s="19" t="n"/>
      <c r="H137" s="18">
        <f>IF(D137="","",IF(D137="No","Lost",IF(E137="Dofollow","Live","Live (nofollow)")))</f>
        <v/>
      </c>
      <c r="I137" s="19" t="n"/>
    </row>
    <row r="138">
      <c r="A138" s="19" t="n"/>
      <c r="B138" s="19" t="n"/>
      <c r="C138" s="21" t="n"/>
      <c r="D138" s="19" t="n"/>
      <c r="E138" s="19" t="n"/>
      <c r="F138" s="19" t="n"/>
      <c r="G138" s="19" t="n"/>
      <c r="H138" s="18">
        <f>IF(D138="","",IF(D138="No","Lost",IF(E138="Dofollow","Live","Live (nofollow)")))</f>
        <v/>
      </c>
      <c r="I138" s="19" t="n"/>
    </row>
    <row r="139">
      <c r="A139" s="19" t="n"/>
      <c r="B139" s="19" t="n"/>
      <c r="C139" s="21" t="n"/>
      <c r="D139" s="19" t="n"/>
      <c r="E139" s="19" t="n"/>
      <c r="F139" s="19" t="n"/>
      <c r="G139" s="19" t="n"/>
      <c r="H139" s="18">
        <f>IF(D139="","",IF(D139="No","Lost",IF(E139="Dofollow","Live","Live (nofollow)")))</f>
        <v/>
      </c>
      <c r="I139" s="19" t="n"/>
    </row>
    <row r="140">
      <c r="A140" s="19" t="n"/>
      <c r="B140" s="19" t="n"/>
      <c r="C140" s="21" t="n"/>
      <c r="D140" s="19" t="n"/>
      <c r="E140" s="19" t="n"/>
      <c r="F140" s="19" t="n"/>
      <c r="G140" s="19" t="n"/>
      <c r="H140" s="18">
        <f>IF(D140="","",IF(D140="No","Lost",IF(E140="Dofollow","Live","Live (nofollow)")))</f>
        <v/>
      </c>
      <c r="I140" s="19" t="n"/>
    </row>
    <row r="141">
      <c r="A141" s="19" t="n"/>
      <c r="B141" s="19" t="n"/>
      <c r="C141" s="21" t="n"/>
      <c r="D141" s="19" t="n"/>
      <c r="E141" s="19" t="n"/>
      <c r="F141" s="19" t="n"/>
      <c r="G141" s="19" t="n"/>
      <c r="H141" s="18">
        <f>IF(D141="","",IF(D141="No","Lost",IF(E141="Dofollow","Live","Live (nofollow)")))</f>
        <v/>
      </c>
      <c r="I141" s="19" t="n"/>
    </row>
    <row r="142">
      <c r="A142" s="19" t="n"/>
      <c r="B142" s="19" t="n"/>
      <c r="C142" s="21" t="n"/>
      <c r="D142" s="19" t="n"/>
      <c r="E142" s="19" t="n"/>
      <c r="F142" s="19" t="n"/>
      <c r="G142" s="19" t="n"/>
      <c r="H142" s="18">
        <f>IF(D142="","",IF(D142="No","Lost",IF(E142="Dofollow","Live","Live (nofollow)")))</f>
        <v/>
      </c>
      <c r="I142" s="19" t="n"/>
    </row>
    <row r="143">
      <c r="A143" s="19" t="n"/>
      <c r="B143" s="19" t="n"/>
      <c r="C143" s="21" t="n"/>
      <c r="D143" s="19" t="n"/>
      <c r="E143" s="19" t="n"/>
      <c r="F143" s="19" t="n"/>
      <c r="G143" s="19" t="n"/>
      <c r="H143" s="18">
        <f>IF(D143="","",IF(D143="No","Lost",IF(E143="Dofollow","Live","Live (nofollow)")))</f>
        <v/>
      </c>
      <c r="I143" s="19" t="n"/>
    </row>
    <row r="144">
      <c r="A144" s="19" t="n"/>
      <c r="B144" s="19" t="n"/>
      <c r="C144" s="21" t="n"/>
      <c r="D144" s="19" t="n"/>
      <c r="E144" s="19" t="n"/>
      <c r="F144" s="19" t="n"/>
      <c r="G144" s="19" t="n"/>
      <c r="H144" s="18">
        <f>IF(D144="","",IF(D144="No","Lost",IF(E144="Dofollow","Live","Live (nofollow)")))</f>
        <v/>
      </c>
      <c r="I144" s="19" t="n"/>
    </row>
    <row r="145">
      <c r="A145" s="19" t="n"/>
      <c r="B145" s="19" t="n"/>
      <c r="C145" s="21" t="n"/>
      <c r="D145" s="19" t="n"/>
      <c r="E145" s="19" t="n"/>
      <c r="F145" s="19" t="n"/>
      <c r="G145" s="19" t="n"/>
      <c r="H145" s="18">
        <f>IF(D145="","",IF(D145="No","Lost",IF(E145="Dofollow","Live","Live (nofollow)")))</f>
        <v/>
      </c>
      <c r="I145" s="19" t="n"/>
    </row>
    <row r="146">
      <c r="A146" s="19" t="n"/>
      <c r="B146" s="19" t="n"/>
      <c r="C146" s="21" t="n"/>
      <c r="D146" s="19" t="n"/>
      <c r="E146" s="19" t="n"/>
      <c r="F146" s="19" t="n"/>
      <c r="G146" s="19" t="n"/>
      <c r="H146" s="18">
        <f>IF(D146="","",IF(D146="No","Lost",IF(E146="Dofollow","Live","Live (nofollow)")))</f>
        <v/>
      </c>
      <c r="I146" s="19" t="n"/>
    </row>
    <row r="147">
      <c r="A147" s="19" t="n"/>
      <c r="B147" s="19" t="n"/>
      <c r="C147" s="21" t="n"/>
      <c r="D147" s="19" t="n"/>
      <c r="E147" s="19" t="n"/>
      <c r="F147" s="19" t="n"/>
      <c r="G147" s="19" t="n"/>
      <c r="H147" s="18">
        <f>IF(D147="","",IF(D147="No","Lost",IF(E147="Dofollow","Live","Live (nofollow)")))</f>
        <v/>
      </c>
      <c r="I147" s="19" t="n"/>
    </row>
    <row r="148">
      <c r="A148" s="19" t="n"/>
      <c r="B148" s="19" t="n"/>
      <c r="C148" s="21" t="n"/>
      <c r="D148" s="19" t="n"/>
      <c r="E148" s="19" t="n"/>
      <c r="F148" s="19" t="n"/>
      <c r="G148" s="19" t="n"/>
      <c r="H148" s="18">
        <f>IF(D148="","",IF(D148="No","Lost",IF(E148="Dofollow","Live","Live (nofollow)")))</f>
        <v/>
      </c>
      <c r="I148" s="19" t="n"/>
    </row>
    <row r="149">
      <c r="A149" s="19" t="n"/>
      <c r="B149" s="19" t="n"/>
      <c r="C149" s="21" t="n"/>
      <c r="D149" s="19" t="n"/>
      <c r="E149" s="19" t="n"/>
      <c r="F149" s="19" t="n"/>
      <c r="G149" s="19" t="n"/>
      <c r="H149" s="18">
        <f>IF(D149="","",IF(D149="No","Lost",IF(E149="Dofollow","Live","Live (nofollow)")))</f>
        <v/>
      </c>
      <c r="I149" s="19" t="n"/>
    </row>
    <row r="150">
      <c r="A150" s="19" t="n"/>
      <c r="B150" s="19" t="n"/>
      <c r="C150" s="21" t="n"/>
      <c r="D150" s="19" t="n"/>
      <c r="E150" s="19" t="n"/>
      <c r="F150" s="19" t="n"/>
      <c r="G150" s="19" t="n"/>
      <c r="H150" s="18">
        <f>IF(D150="","",IF(D150="No","Lost",IF(E150="Dofollow","Live","Live (nofollow)")))</f>
        <v/>
      </c>
      <c r="I150" s="19" t="n"/>
    </row>
    <row r="151">
      <c r="A151" s="19" t="n"/>
      <c r="B151" s="19" t="n"/>
      <c r="C151" s="21" t="n"/>
      <c r="D151" s="19" t="n"/>
      <c r="E151" s="19" t="n"/>
      <c r="F151" s="19" t="n"/>
      <c r="G151" s="19" t="n"/>
      <c r="H151" s="18">
        <f>IF(D151="","",IF(D151="No","Lost",IF(E151="Dofollow","Live","Live (nofollow)")))</f>
        <v/>
      </c>
      <c r="I151" s="19" t="n"/>
    </row>
    <row r="152">
      <c r="A152" s="19" t="n"/>
      <c r="B152" s="19" t="n"/>
      <c r="C152" s="21" t="n"/>
      <c r="D152" s="19" t="n"/>
      <c r="E152" s="19" t="n"/>
      <c r="F152" s="19" t="n"/>
      <c r="G152" s="19" t="n"/>
      <c r="H152" s="18">
        <f>IF(D152="","",IF(D152="No","Lost",IF(E152="Dofollow","Live","Live (nofollow)")))</f>
        <v/>
      </c>
      <c r="I152" s="19" t="n"/>
    </row>
    <row r="153">
      <c r="A153" s="19" t="n"/>
      <c r="B153" s="19" t="n"/>
      <c r="C153" s="21" t="n"/>
      <c r="D153" s="19" t="n"/>
      <c r="E153" s="19" t="n"/>
      <c r="F153" s="19" t="n"/>
      <c r="G153" s="19" t="n"/>
      <c r="H153" s="18">
        <f>IF(D153="","",IF(D153="No","Lost",IF(E153="Dofollow","Live","Live (nofollow)")))</f>
        <v/>
      </c>
      <c r="I153" s="19" t="n"/>
    </row>
    <row r="154">
      <c r="A154" s="19" t="n"/>
      <c r="B154" s="19" t="n"/>
      <c r="C154" s="21" t="n"/>
      <c r="D154" s="19" t="n"/>
      <c r="E154" s="19" t="n"/>
      <c r="F154" s="19" t="n"/>
      <c r="G154" s="19" t="n"/>
      <c r="H154" s="18">
        <f>IF(D154="","",IF(D154="No","Lost",IF(E154="Dofollow","Live","Live (nofollow)")))</f>
        <v/>
      </c>
      <c r="I154" s="19" t="n"/>
    </row>
    <row r="155">
      <c r="A155" s="19" t="n"/>
      <c r="B155" s="19" t="n"/>
      <c r="C155" s="21" t="n"/>
      <c r="D155" s="19" t="n"/>
      <c r="E155" s="19" t="n"/>
      <c r="F155" s="19" t="n"/>
      <c r="G155" s="19" t="n"/>
      <c r="H155" s="18">
        <f>IF(D155="","",IF(D155="No","Lost",IF(E155="Dofollow","Live","Live (nofollow)")))</f>
        <v/>
      </c>
      <c r="I155" s="19" t="n"/>
    </row>
    <row r="156">
      <c r="A156" s="19" t="n"/>
      <c r="B156" s="19" t="n"/>
      <c r="C156" s="21" t="n"/>
      <c r="D156" s="19" t="n"/>
      <c r="E156" s="19" t="n"/>
      <c r="F156" s="19" t="n"/>
      <c r="G156" s="19" t="n"/>
      <c r="H156" s="18">
        <f>IF(D156="","",IF(D156="No","Lost",IF(E156="Dofollow","Live","Live (nofollow)")))</f>
        <v/>
      </c>
      <c r="I156" s="19" t="n"/>
    </row>
    <row r="157">
      <c r="A157" s="19" t="n"/>
      <c r="B157" s="19" t="n"/>
      <c r="C157" s="21" t="n"/>
      <c r="D157" s="19" t="n"/>
      <c r="E157" s="19" t="n"/>
      <c r="F157" s="19" t="n"/>
      <c r="G157" s="19" t="n"/>
      <c r="H157" s="18">
        <f>IF(D157="","",IF(D157="No","Lost",IF(E157="Dofollow","Live","Live (nofollow)")))</f>
        <v/>
      </c>
      <c r="I157" s="19" t="n"/>
    </row>
    <row r="158">
      <c r="A158" s="19" t="n"/>
      <c r="B158" s="19" t="n"/>
      <c r="C158" s="21" t="n"/>
      <c r="D158" s="19" t="n"/>
      <c r="E158" s="19" t="n"/>
      <c r="F158" s="19" t="n"/>
      <c r="G158" s="19" t="n"/>
      <c r="H158" s="18">
        <f>IF(D158="","",IF(D158="No","Lost",IF(E158="Dofollow","Live","Live (nofollow)")))</f>
        <v/>
      </c>
      <c r="I158" s="19" t="n"/>
    </row>
    <row r="159">
      <c r="A159" s="19" t="n"/>
      <c r="B159" s="19" t="n"/>
      <c r="C159" s="21" t="n"/>
      <c r="D159" s="19" t="n"/>
      <c r="E159" s="19" t="n"/>
      <c r="F159" s="19" t="n"/>
      <c r="G159" s="19" t="n"/>
      <c r="H159" s="18">
        <f>IF(D159="","",IF(D159="No","Lost",IF(E159="Dofollow","Live","Live (nofollow)")))</f>
        <v/>
      </c>
      <c r="I159" s="19" t="n"/>
    </row>
    <row r="160">
      <c r="A160" s="19" t="n"/>
      <c r="B160" s="19" t="n"/>
      <c r="C160" s="21" t="n"/>
      <c r="D160" s="19" t="n"/>
      <c r="E160" s="19" t="n"/>
      <c r="F160" s="19" t="n"/>
      <c r="G160" s="19" t="n"/>
      <c r="H160" s="18">
        <f>IF(D160="","",IF(D160="No","Lost",IF(E160="Dofollow","Live","Live (nofollow)")))</f>
        <v/>
      </c>
      <c r="I160" s="19" t="n"/>
    </row>
    <row r="161">
      <c r="A161" s="19" t="n"/>
      <c r="B161" s="19" t="n"/>
      <c r="C161" s="21" t="n"/>
      <c r="D161" s="19" t="n"/>
      <c r="E161" s="19" t="n"/>
      <c r="F161" s="19" t="n"/>
      <c r="G161" s="19" t="n"/>
      <c r="H161" s="18">
        <f>IF(D161="","",IF(D161="No","Lost",IF(E161="Dofollow","Live","Live (nofollow)")))</f>
        <v/>
      </c>
      <c r="I161" s="19" t="n"/>
    </row>
    <row r="162">
      <c r="A162" s="19" t="n"/>
      <c r="B162" s="19" t="n"/>
      <c r="C162" s="21" t="n"/>
      <c r="D162" s="19" t="n"/>
      <c r="E162" s="19" t="n"/>
      <c r="F162" s="19" t="n"/>
      <c r="G162" s="19" t="n"/>
      <c r="H162" s="18">
        <f>IF(D162="","",IF(D162="No","Lost",IF(E162="Dofollow","Live","Live (nofollow)")))</f>
        <v/>
      </c>
      <c r="I162" s="19" t="n"/>
    </row>
    <row r="163">
      <c r="A163" s="19" t="n"/>
      <c r="B163" s="19" t="n"/>
      <c r="C163" s="21" t="n"/>
      <c r="D163" s="19" t="n"/>
      <c r="E163" s="19" t="n"/>
      <c r="F163" s="19" t="n"/>
      <c r="G163" s="19" t="n"/>
      <c r="H163" s="18">
        <f>IF(D163="","",IF(D163="No","Lost",IF(E163="Dofollow","Live","Live (nofollow)")))</f>
        <v/>
      </c>
      <c r="I163" s="19" t="n"/>
    </row>
    <row r="164">
      <c r="A164" s="19" t="n"/>
      <c r="B164" s="19" t="n"/>
      <c r="C164" s="21" t="n"/>
      <c r="D164" s="19" t="n"/>
      <c r="E164" s="19" t="n"/>
      <c r="F164" s="19" t="n"/>
      <c r="G164" s="19" t="n"/>
      <c r="H164" s="18">
        <f>IF(D164="","",IF(D164="No","Lost",IF(E164="Dofollow","Live","Live (nofollow)")))</f>
        <v/>
      </c>
      <c r="I164" s="19" t="n"/>
    </row>
    <row r="165">
      <c r="A165" s="19" t="n"/>
      <c r="B165" s="19" t="n"/>
      <c r="C165" s="21" t="n"/>
      <c r="D165" s="19" t="n"/>
      <c r="E165" s="19" t="n"/>
      <c r="F165" s="19" t="n"/>
      <c r="G165" s="19" t="n"/>
      <c r="H165" s="18">
        <f>IF(D165="","",IF(D165="No","Lost",IF(E165="Dofollow","Live","Live (nofollow)")))</f>
        <v/>
      </c>
      <c r="I165" s="19" t="n"/>
    </row>
    <row r="166">
      <c r="A166" s="19" t="n"/>
      <c r="B166" s="19" t="n"/>
      <c r="C166" s="21" t="n"/>
      <c r="D166" s="19" t="n"/>
      <c r="E166" s="19" t="n"/>
      <c r="F166" s="19" t="n"/>
      <c r="G166" s="19" t="n"/>
      <c r="H166" s="18">
        <f>IF(D166="","",IF(D166="No","Lost",IF(E166="Dofollow","Live","Live (nofollow)")))</f>
        <v/>
      </c>
      <c r="I166" s="19" t="n"/>
    </row>
    <row r="167">
      <c r="A167" s="19" t="n"/>
      <c r="B167" s="19" t="n"/>
      <c r="C167" s="21" t="n"/>
      <c r="D167" s="19" t="n"/>
      <c r="E167" s="19" t="n"/>
      <c r="F167" s="19" t="n"/>
      <c r="G167" s="19" t="n"/>
      <c r="H167" s="18">
        <f>IF(D167="","",IF(D167="No","Lost",IF(E167="Dofollow","Live","Live (nofollow)")))</f>
        <v/>
      </c>
      <c r="I167" s="19" t="n"/>
    </row>
    <row r="168">
      <c r="A168" s="19" t="n"/>
      <c r="B168" s="19" t="n"/>
      <c r="C168" s="21" t="n"/>
      <c r="D168" s="19" t="n"/>
      <c r="E168" s="19" t="n"/>
      <c r="F168" s="19" t="n"/>
      <c r="G168" s="19" t="n"/>
      <c r="H168" s="18">
        <f>IF(D168="","",IF(D168="No","Lost",IF(E168="Dofollow","Live","Live (nofollow)")))</f>
        <v/>
      </c>
      <c r="I168" s="19" t="n"/>
    </row>
    <row r="169">
      <c r="A169" s="19" t="n"/>
      <c r="B169" s="19" t="n"/>
      <c r="C169" s="21" t="n"/>
      <c r="D169" s="19" t="n"/>
      <c r="E169" s="19" t="n"/>
      <c r="F169" s="19" t="n"/>
      <c r="G169" s="19" t="n"/>
      <c r="H169" s="18">
        <f>IF(D169="","",IF(D169="No","Lost",IF(E169="Dofollow","Live","Live (nofollow)")))</f>
        <v/>
      </c>
      <c r="I169" s="19" t="n"/>
    </row>
    <row r="170">
      <c r="A170" s="19" t="n"/>
      <c r="B170" s="19" t="n"/>
      <c r="C170" s="21" t="n"/>
      <c r="D170" s="19" t="n"/>
      <c r="E170" s="19" t="n"/>
      <c r="F170" s="19" t="n"/>
      <c r="G170" s="19" t="n"/>
      <c r="H170" s="18">
        <f>IF(D170="","",IF(D170="No","Lost",IF(E170="Dofollow","Live","Live (nofollow)")))</f>
        <v/>
      </c>
      <c r="I170" s="19" t="n"/>
    </row>
    <row r="171">
      <c r="A171" s="19" t="n"/>
      <c r="B171" s="19" t="n"/>
      <c r="C171" s="21" t="n"/>
      <c r="D171" s="19" t="n"/>
      <c r="E171" s="19" t="n"/>
      <c r="F171" s="19" t="n"/>
      <c r="G171" s="19" t="n"/>
      <c r="H171" s="18">
        <f>IF(D171="","",IF(D171="No","Lost",IF(E171="Dofollow","Live","Live (nofollow)")))</f>
        <v/>
      </c>
      <c r="I171" s="19" t="n"/>
    </row>
    <row r="172">
      <c r="A172" s="19" t="n"/>
      <c r="B172" s="19" t="n"/>
      <c r="C172" s="21" t="n"/>
      <c r="D172" s="19" t="n"/>
      <c r="E172" s="19" t="n"/>
      <c r="F172" s="19" t="n"/>
      <c r="G172" s="19" t="n"/>
      <c r="H172" s="18">
        <f>IF(D172="","",IF(D172="No","Lost",IF(E172="Dofollow","Live","Live (nofollow)")))</f>
        <v/>
      </c>
      <c r="I172" s="19" t="n"/>
    </row>
    <row r="173">
      <c r="A173" s="19" t="n"/>
      <c r="B173" s="19" t="n"/>
      <c r="C173" s="21" t="n"/>
      <c r="D173" s="19" t="n"/>
      <c r="E173" s="19" t="n"/>
      <c r="F173" s="19" t="n"/>
      <c r="G173" s="19" t="n"/>
      <c r="H173" s="18">
        <f>IF(D173="","",IF(D173="No","Lost",IF(E173="Dofollow","Live","Live (nofollow)")))</f>
        <v/>
      </c>
      <c r="I173" s="19" t="n"/>
    </row>
    <row r="174">
      <c r="A174" s="19" t="n"/>
      <c r="B174" s="19" t="n"/>
      <c r="C174" s="21" t="n"/>
      <c r="D174" s="19" t="n"/>
      <c r="E174" s="19" t="n"/>
      <c r="F174" s="19" t="n"/>
      <c r="G174" s="19" t="n"/>
      <c r="H174" s="18">
        <f>IF(D174="","",IF(D174="No","Lost",IF(E174="Dofollow","Live","Live (nofollow)")))</f>
        <v/>
      </c>
      <c r="I174" s="19" t="n"/>
    </row>
    <row r="175">
      <c r="A175" s="19" t="n"/>
      <c r="B175" s="19" t="n"/>
      <c r="C175" s="21" t="n"/>
      <c r="D175" s="19" t="n"/>
      <c r="E175" s="19" t="n"/>
      <c r="F175" s="19" t="n"/>
      <c r="G175" s="19" t="n"/>
      <c r="H175" s="18">
        <f>IF(D175="","",IF(D175="No","Lost",IF(E175="Dofollow","Live","Live (nofollow)")))</f>
        <v/>
      </c>
      <c r="I175" s="19" t="n"/>
    </row>
    <row r="176">
      <c r="A176" s="19" t="n"/>
      <c r="B176" s="19" t="n"/>
      <c r="C176" s="21" t="n"/>
      <c r="D176" s="19" t="n"/>
      <c r="E176" s="19" t="n"/>
      <c r="F176" s="19" t="n"/>
      <c r="G176" s="19" t="n"/>
      <c r="H176" s="18">
        <f>IF(D176="","",IF(D176="No","Lost",IF(E176="Dofollow","Live","Live (nofollow)")))</f>
        <v/>
      </c>
      <c r="I176" s="19" t="n"/>
    </row>
    <row r="177">
      <c r="A177" s="19" t="n"/>
      <c r="B177" s="19" t="n"/>
      <c r="C177" s="21" t="n"/>
      <c r="D177" s="19" t="n"/>
      <c r="E177" s="19" t="n"/>
      <c r="F177" s="19" t="n"/>
      <c r="G177" s="19" t="n"/>
      <c r="H177" s="18">
        <f>IF(D177="","",IF(D177="No","Lost",IF(E177="Dofollow","Live","Live (nofollow)")))</f>
        <v/>
      </c>
      <c r="I177" s="19" t="n"/>
    </row>
    <row r="178">
      <c r="A178" s="19" t="n"/>
      <c r="B178" s="19" t="n"/>
      <c r="C178" s="21" t="n"/>
      <c r="D178" s="19" t="n"/>
      <c r="E178" s="19" t="n"/>
      <c r="F178" s="19" t="n"/>
      <c r="G178" s="19" t="n"/>
      <c r="H178" s="18">
        <f>IF(D178="","",IF(D178="No","Lost",IF(E178="Dofollow","Live","Live (nofollow)")))</f>
        <v/>
      </c>
      <c r="I178" s="19" t="n"/>
    </row>
    <row r="179">
      <c r="A179" s="19" t="n"/>
      <c r="B179" s="19" t="n"/>
      <c r="C179" s="21" t="n"/>
      <c r="D179" s="19" t="n"/>
      <c r="E179" s="19" t="n"/>
      <c r="F179" s="19" t="n"/>
      <c r="G179" s="19" t="n"/>
      <c r="H179" s="18">
        <f>IF(D179="","",IF(D179="No","Lost",IF(E179="Dofollow","Live","Live (nofollow)")))</f>
        <v/>
      </c>
      <c r="I179" s="19" t="n"/>
    </row>
    <row r="180">
      <c r="A180" s="19" t="n"/>
      <c r="B180" s="19" t="n"/>
      <c r="C180" s="21" t="n"/>
      <c r="D180" s="19" t="n"/>
      <c r="E180" s="19" t="n"/>
      <c r="F180" s="19" t="n"/>
      <c r="G180" s="19" t="n"/>
      <c r="H180" s="18">
        <f>IF(D180="","",IF(D180="No","Lost",IF(E180="Dofollow","Live","Live (nofollow)")))</f>
        <v/>
      </c>
      <c r="I180" s="19" t="n"/>
    </row>
    <row r="181">
      <c r="A181" s="19" t="n"/>
      <c r="B181" s="19" t="n"/>
      <c r="C181" s="21" t="n"/>
      <c r="D181" s="19" t="n"/>
      <c r="E181" s="19" t="n"/>
      <c r="F181" s="19" t="n"/>
      <c r="G181" s="19" t="n"/>
      <c r="H181" s="18">
        <f>IF(D181="","",IF(D181="No","Lost",IF(E181="Dofollow","Live","Live (nofollow)")))</f>
        <v/>
      </c>
      <c r="I181" s="19" t="n"/>
    </row>
    <row r="182">
      <c r="A182" s="19" t="n"/>
      <c r="B182" s="19" t="n"/>
      <c r="C182" s="21" t="n"/>
      <c r="D182" s="19" t="n"/>
      <c r="E182" s="19" t="n"/>
      <c r="F182" s="19" t="n"/>
      <c r="G182" s="19" t="n"/>
      <c r="H182" s="18">
        <f>IF(D182="","",IF(D182="No","Lost",IF(E182="Dofollow","Live","Live (nofollow)")))</f>
        <v/>
      </c>
      <c r="I182" s="19" t="n"/>
    </row>
    <row r="183">
      <c r="A183" s="19" t="n"/>
      <c r="B183" s="19" t="n"/>
      <c r="C183" s="21" t="n"/>
      <c r="D183" s="19" t="n"/>
      <c r="E183" s="19" t="n"/>
      <c r="F183" s="19" t="n"/>
      <c r="G183" s="19" t="n"/>
      <c r="H183" s="18">
        <f>IF(D183="","",IF(D183="No","Lost",IF(E183="Dofollow","Live","Live (nofollow)")))</f>
        <v/>
      </c>
      <c r="I183" s="19" t="n"/>
    </row>
    <row r="184">
      <c r="A184" s="19" t="n"/>
      <c r="B184" s="19" t="n"/>
      <c r="C184" s="21" t="n"/>
      <c r="D184" s="19" t="n"/>
      <c r="E184" s="19" t="n"/>
      <c r="F184" s="19" t="n"/>
      <c r="G184" s="19" t="n"/>
      <c r="H184" s="18">
        <f>IF(D184="","",IF(D184="No","Lost",IF(E184="Dofollow","Live","Live (nofollow)")))</f>
        <v/>
      </c>
      <c r="I184" s="19" t="n"/>
    </row>
    <row r="185">
      <c r="A185" s="19" t="n"/>
      <c r="B185" s="19" t="n"/>
      <c r="C185" s="21" t="n"/>
      <c r="D185" s="19" t="n"/>
      <c r="E185" s="19" t="n"/>
      <c r="F185" s="19" t="n"/>
      <c r="G185" s="19" t="n"/>
      <c r="H185" s="18">
        <f>IF(D185="","",IF(D185="No","Lost",IF(E185="Dofollow","Live","Live (nofollow)")))</f>
        <v/>
      </c>
      <c r="I185" s="19" t="n"/>
    </row>
    <row r="186">
      <c r="A186" s="19" t="n"/>
      <c r="B186" s="19" t="n"/>
      <c r="C186" s="21" t="n"/>
      <c r="D186" s="19" t="n"/>
      <c r="E186" s="19" t="n"/>
      <c r="F186" s="19" t="n"/>
      <c r="G186" s="19" t="n"/>
      <c r="H186" s="18">
        <f>IF(D186="","",IF(D186="No","Lost",IF(E186="Dofollow","Live","Live (nofollow)")))</f>
        <v/>
      </c>
      <c r="I186" s="19" t="n"/>
    </row>
    <row r="187">
      <c r="A187" s="19" t="n"/>
      <c r="B187" s="19" t="n"/>
      <c r="C187" s="21" t="n"/>
      <c r="D187" s="19" t="n"/>
      <c r="E187" s="19" t="n"/>
      <c r="F187" s="19" t="n"/>
      <c r="G187" s="19" t="n"/>
      <c r="H187" s="18">
        <f>IF(D187="","",IF(D187="No","Lost",IF(E187="Dofollow","Live","Live (nofollow)")))</f>
        <v/>
      </c>
      <c r="I187" s="19" t="n"/>
    </row>
    <row r="188">
      <c r="A188" s="19" t="n"/>
      <c r="B188" s="19" t="n"/>
      <c r="C188" s="21" t="n"/>
      <c r="D188" s="19" t="n"/>
      <c r="E188" s="19" t="n"/>
      <c r="F188" s="19" t="n"/>
      <c r="G188" s="19" t="n"/>
      <c r="H188" s="18">
        <f>IF(D188="","",IF(D188="No","Lost",IF(E188="Dofollow","Live","Live (nofollow)")))</f>
        <v/>
      </c>
      <c r="I188" s="19" t="n"/>
    </row>
    <row r="189">
      <c r="A189" s="19" t="n"/>
      <c r="B189" s="19" t="n"/>
      <c r="C189" s="21" t="n"/>
      <c r="D189" s="19" t="n"/>
      <c r="E189" s="19" t="n"/>
      <c r="F189" s="19" t="n"/>
      <c r="G189" s="19" t="n"/>
      <c r="H189" s="18">
        <f>IF(D189="","",IF(D189="No","Lost",IF(E189="Dofollow","Live","Live (nofollow)")))</f>
        <v/>
      </c>
      <c r="I189" s="19" t="n"/>
    </row>
    <row r="190">
      <c r="A190" s="19" t="n"/>
      <c r="B190" s="19" t="n"/>
      <c r="C190" s="21" t="n"/>
      <c r="D190" s="19" t="n"/>
      <c r="E190" s="19" t="n"/>
      <c r="F190" s="19" t="n"/>
      <c r="G190" s="19" t="n"/>
      <c r="H190" s="18">
        <f>IF(D190="","",IF(D190="No","Lost",IF(E190="Dofollow","Live","Live (nofollow)")))</f>
        <v/>
      </c>
      <c r="I190" s="19" t="n"/>
    </row>
    <row r="191">
      <c r="A191" s="19" t="n"/>
      <c r="B191" s="19" t="n"/>
      <c r="C191" s="21" t="n"/>
      <c r="D191" s="19" t="n"/>
      <c r="E191" s="19" t="n"/>
      <c r="F191" s="19" t="n"/>
      <c r="G191" s="19" t="n"/>
      <c r="H191" s="18">
        <f>IF(D191="","",IF(D191="No","Lost",IF(E191="Dofollow","Live","Live (nofollow)")))</f>
        <v/>
      </c>
      <c r="I191" s="19" t="n"/>
    </row>
    <row r="192">
      <c r="A192" s="19" t="n"/>
      <c r="B192" s="19" t="n"/>
      <c r="C192" s="21" t="n"/>
      <c r="D192" s="19" t="n"/>
      <c r="E192" s="19" t="n"/>
      <c r="F192" s="19" t="n"/>
      <c r="G192" s="19" t="n"/>
      <c r="H192" s="18">
        <f>IF(D192="","",IF(D192="No","Lost",IF(E192="Dofollow","Live","Live (nofollow)")))</f>
        <v/>
      </c>
      <c r="I192" s="19" t="n"/>
    </row>
    <row r="193">
      <c r="A193" s="19" t="n"/>
      <c r="B193" s="19" t="n"/>
      <c r="C193" s="21" t="n"/>
      <c r="D193" s="19" t="n"/>
      <c r="E193" s="19" t="n"/>
      <c r="F193" s="19" t="n"/>
      <c r="G193" s="19" t="n"/>
      <c r="H193" s="18">
        <f>IF(D193="","",IF(D193="No","Lost",IF(E193="Dofollow","Live","Live (nofollow)")))</f>
        <v/>
      </c>
      <c r="I193" s="19" t="n"/>
    </row>
    <row r="194">
      <c r="A194" s="19" t="n"/>
      <c r="B194" s="19" t="n"/>
      <c r="C194" s="21" t="n"/>
      <c r="D194" s="19" t="n"/>
      <c r="E194" s="19" t="n"/>
      <c r="F194" s="19" t="n"/>
      <c r="G194" s="19" t="n"/>
      <c r="H194" s="18">
        <f>IF(D194="","",IF(D194="No","Lost",IF(E194="Dofollow","Live","Live (nofollow)")))</f>
        <v/>
      </c>
      <c r="I194" s="19" t="n"/>
    </row>
    <row r="195">
      <c r="A195" s="19" t="n"/>
      <c r="B195" s="19" t="n"/>
      <c r="C195" s="21" t="n"/>
      <c r="D195" s="19" t="n"/>
      <c r="E195" s="19" t="n"/>
      <c r="F195" s="19" t="n"/>
      <c r="G195" s="19" t="n"/>
      <c r="H195" s="18">
        <f>IF(D195="","",IF(D195="No","Lost",IF(E195="Dofollow","Live","Live (nofollow)")))</f>
        <v/>
      </c>
      <c r="I195" s="19" t="n"/>
    </row>
    <row r="196">
      <c r="A196" s="19" t="n"/>
      <c r="B196" s="19" t="n"/>
      <c r="C196" s="21" t="n"/>
      <c r="D196" s="19" t="n"/>
      <c r="E196" s="19" t="n"/>
      <c r="F196" s="19" t="n"/>
      <c r="G196" s="19" t="n"/>
      <c r="H196" s="18">
        <f>IF(D196="","",IF(D196="No","Lost",IF(E196="Dofollow","Live","Live (nofollow)")))</f>
        <v/>
      </c>
      <c r="I196" s="19" t="n"/>
    </row>
    <row r="197">
      <c r="A197" s="19" t="n"/>
      <c r="B197" s="19" t="n"/>
      <c r="C197" s="21" t="n"/>
      <c r="D197" s="19" t="n"/>
      <c r="E197" s="19" t="n"/>
      <c r="F197" s="19" t="n"/>
      <c r="G197" s="19" t="n"/>
      <c r="H197" s="18">
        <f>IF(D197="","",IF(D197="No","Lost",IF(E197="Dofollow","Live","Live (nofollow)")))</f>
        <v/>
      </c>
      <c r="I197" s="19" t="n"/>
    </row>
    <row r="198">
      <c r="A198" s="19" t="n"/>
      <c r="B198" s="19" t="n"/>
      <c r="C198" s="21" t="n"/>
      <c r="D198" s="19" t="n"/>
      <c r="E198" s="19" t="n"/>
      <c r="F198" s="19" t="n"/>
      <c r="G198" s="19" t="n"/>
      <c r="H198" s="18">
        <f>IF(D198="","",IF(D198="No","Lost",IF(E198="Dofollow","Live","Live (nofollow)")))</f>
        <v/>
      </c>
      <c r="I198" s="19" t="n"/>
    </row>
    <row r="199">
      <c r="A199" s="19" t="n"/>
      <c r="B199" s="19" t="n"/>
      <c r="C199" s="21" t="n"/>
      <c r="D199" s="19" t="n"/>
      <c r="E199" s="19" t="n"/>
      <c r="F199" s="19" t="n"/>
      <c r="G199" s="19" t="n"/>
      <c r="H199" s="18">
        <f>IF(D199="","",IF(D199="No","Lost",IF(E199="Dofollow","Live","Live (nofollow)")))</f>
        <v/>
      </c>
      <c r="I199" s="19" t="n"/>
    </row>
    <row r="200">
      <c r="A200" s="19" t="n"/>
      <c r="B200" s="19" t="n"/>
      <c r="C200" s="21" t="n"/>
      <c r="D200" s="19" t="n"/>
      <c r="E200" s="19" t="n"/>
      <c r="F200" s="19" t="n"/>
      <c r="G200" s="19" t="n"/>
      <c r="H200" s="18">
        <f>IF(D200="","",IF(D200="No","Lost",IF(E200="Dofollow","Live","Live (nofollow)")))</f>
        <v/>
      </c>
      <c r="I200" s="19" t="n"/>
    </row>
    <row r="201">
      <c r="A201" s="19" t="n"/>
      <c r="B201" s="19" t="n"/>
      <c r="C201" s="21" t="n"/>
      <c r="D201" s="19" t="n"/>
      <c r="E201" s="19" t="n"/>
      <c r="F201" s="19" t="n"/>
      <c r="G201" s="19" t="n"/>
      <c r="H201" s="18">
        <f>IF(D201="","",IF(D201="No","Lost",IF(E201="Dofollow","Live","Live (nofollow)")))</f>
        <v/>
      </c>
      <c r="I201" s="19" t="n"/>
    </row>
    <row r="202">
      <c r="A202" s="19" t="n"/>
      <c r="B202" s="19" t="n"/>
      <c r="C202" s="21" t="n"/>
      <c r="D202" s="19" t="n"/>
      <c r="E202" s="19" t="n"/>
      <c r="F202" s="19" t="n"/>
      <c r="G202" s="19" t="n"/>
      <c r="H202" s="18">
        <f>IF(D202="","",IF(D202="No","Lost",IF(E202="Dofollow","Live","Live (nofollow)")))</f>
        <v/>
      </c>
      <c r="I202" s="19" t="n"/>
    </row>
    <row r="203">
      <c r="A203" s="19" t="n"/>
      <c r="B203" s="19" t="n"/>
      <c r="C203" s="21" t="n"/>
      <c r="D203" s="19" t="n"/>
      <c r="E203" s="19" t="n"/>
      <c r="F203" s="19" t="n"/>
      <c r="G203" s="19" t="n"/>
      <c r="H203" s="18">
        <f>IF(D203="","",IF(D203="No","Lost",IF(E203="Dofollow","Live","Live (nofollow)")))</f>
        <v/>
      </c>
      <c r="I203" s="19" t="n"/>
    </row>
    <row r="204">
      <c r="A204" s="19" t="n"/>
      <c r="B204" s="19" t="n"/>
      <c r="C204" s="21" t="n"/>
      <c r="D204" s="19" t="n"/>
      <c r="E204" s="19" t="n"/>
      <c r="F204" s="19" t="n"/>
      <c r="G204" s="19" t="n"/>
      <c r="H204" s="18">
        <f>IF(D204="","",IF(D204="No","Lost",IF(E204="Dofollow","Live","Live (nofollow)")))</f>
        <v/>
      </c>
      <c r="I204" s="19" t="n"/>
    </row>
    <row r="205">
      <c r="A205" s="19" t="n"/>
      <c r="B205" s="19" t="n"/>
      <c r="C205" s="21" t="n"/>
      <c r="D205" s="19" t="n"/>
      <c r="E205" s="19" t="n"/>
      <c r="F205" s="19" t="n"/>
      <c r="G205" s="19" t="n"/>
      <c r="H205" s="18">
        <f>IF(D205="","",IF(D205="No","Lost",IF(E205="Dofollow","Live","Live (nofollow)")))</f>
        <v/>
      </c>
      <c r="I205" s="19" t="n"/>
    </row>
    <row r="206">
      <c r="A206" s="19" t="n"/>
      <c r="B206" s="19" t="n"/>
      <c r="C206" s="21" t="n"/>
      <c r="D206" s="19" t="n"/>
      <c r="E206" s="19" t="n"/>
      <c r="F206" s="19" t="n"/>
      <c r="G206" s="19" t="n"/>
      <c r="H206" s="18">
        <f>IF(D206="","",IF(D206="No","Lost",IF(E206="Dofollow","Live","Live (nofollow)")))</f>
        <v/>
      </c>
      <c r="I206" s="19" t="n"/>
    </row>
    <row r="207">
      <c r="A207" s="19" t="n"/>
      <c r="B207" s="19" t="n"/>
      <c r="C207" s="21" t="n"/>
      <c r="D207" s="19" t="n"/>
      <c r="E207" s="19" t="n"/>
      <c r="F207" s="19" t="n"/>
      <c r="G207" s="19" t="n"/>
      <c r="H207" s="18">
        <f>IF(D207="","",IF(D207="No","Lost",IF(E207="Dofollow","Live","Live (nofollow)")))</f>
        <v/>
      </c>
      <c r="I207" s="19" t="n"/>
    </row>
    <row r="208">
      <c r="A208" s="19" t="n"/>
      <c r="B208" s="19" t="n"/>
      <c r="C208" s="21" t="n"/>
      <c r="D208" s="19" t="n"/>
      <c r="E208" s="19" t="n"/>
      <c r="F208" s="19" t="n"/>
      <c r="G208" s="19" t="n"/>
      <c r="H208" s="18">
        <f>IF(D208="","",IF(D208="No","Lost",IF(E208="Dofollow","Live","Live (nofollow)")))</f>
        <v/>
      </c>
      <c r="I208" s="19" t="n"/>
    </row>
    <row r="209">
      <c r="A209" s="19" t="n"/>
      <c r="B209" s="19" t="n"/>
      <c r="C209" s="21" t="n"/>
      <c r="D209" s="19" t="n"/>
      <c r="E209" s="19" t="n"/>
      <c r="F209" s="19" t="n"/>
      <c r="G209" s="19" t="n"/>
      <c r="H209" s="18">
        <f>IF(D209="","",IF(D209="No","Lost",IF(E209="Dofollow","Live","Live (nofollow)")))</f>
        <v/>
      </c>
      <c r="I209" s="19" t="n"/>
    </row>
    <row r="210">
      <c r="A210" s="19" t="n"/>
      <c r="B210" s="19" t="n"/>
      <c r="C210" s="21" t="n"/>
      <c r="D210" s="19" t="n"/>
      <c r="E210" s="19" t="n"/>
      <c r="F210" s="19" t="n"/>
      <c r="G210" s="19" t="n"/>
      <c r="H210" s="18">
        <f>IF(D210="","",IF(D210="No","Lost",IF(E210="Dofollow","Live","Live (nofollow)")))</f>
        <v/>
      </c>
      <c r="I210" s="19" t="n"/>
    </row>
    <row r="211">
      <c r="A211" s="19" t="n"/>
      <c r="B211" s="19" t="n"/>
      <c r="C211" s="21" t="n"/>
      <c r="D211" s="19" t="n"/>
      <c r="E211" s="19" t="n"/>
      <c r="F211" s="19" t="n"/>
      <c r="G211" s="19" t="n"/>
      <c r="H211" s="18">
        <f>IF(D211="","",IF(D211="No","Lost",IF(E211="Dofollow","Live","Live (nofollow)")))</f>
        <v/>
      </c>
      <c r="I211" s="19" t="n"/>
    </row>
    <row r="212">
      <c r="A212" s="19" t="n"/>
      <c r="B212" s="19" t="n"/>
      <c r="C212" s="21" t="n"/>
      <c r="D212" s="19" t="n"/>
      <c r="E212" s="19" t="n"/>
      <c r="F212" s="19" t="n"/>
      <c r="G212" s="19" t="n"/>
      <c r="H212" s="18">
        <f>IF(D212="","",IF(D212="No","Lost",IF(E212="Dofollow","Live","Live (nofollow)")))</f>
        <v/>
      </c>
      <c r="I212" s="19" t="n"/>
    </row>
    <row r="213">
      <c r="A213" s="19" t="n"/>
      <c r="B213" s="19" t="n"/>
      <c r="C213" s="21" t="n"/>
      <c r="D213" s="19" t="n"/>
      <c r="E213" s="19" t="n"/>
      <c r="F213" s="19" t="n"/>
      <c r="G213" s="19" t="n"/>
      <c r="H213" s="18">
        <f>IF(D213="","",IF(D213="No","Lost",IF(E213="Dofollow","Live","Live (nofollow)")))</f>
        <v/>
      </c>
      <c r="I213" s="19" t="n"/>
    </row>
    <row r="214">
      <c r="A214" s="19" t="n"/>
      <c r="B214" s="19" t="n"/>
      <c r="C214" s="21" t="n"/>
      <c r="D214" s="19" t="n"/>
      <c r="E214" s="19" t="n"/>
      <c r="F214" s="19" t="n"/>
      <c r="G214" s="19" t="n"/>
      <c r="H214" s="18">
        <f>IF(D214="","",IF(D214="No","Lost",IF(E214="Dofollow","Live","Live (nofollow)")))</f>
        <v/>
      </c>
      <c r="I214" s="19" t="n"/>
    </row>
    <row r="215">
      <c r="A215" s="19" t="n"/>
      <c r="B215" s="19" t="n"/>
      <c r="C215" s="21" t="n"/>
      <c r="D215" s="19" t="n"/>
      <c r="E215" s="19" t="n"/>
      <c r="F215" s="19" t="n"/>
      <c r="G215" s="19" t="n"/>
      <c r="H215" s="18">
        <f>IF(D215="","",IF(D215="No","Lost",IF(E215="Dofollow","Live","Live (nofollow)")))</f>
        <v/>
      </c>
      <c r="I215" s="19" t="n"/>
    </row>
    <row r="216">
      <c r="A216" s="19" t="n"/>
      <c r="B216" s="19" t="n"/>
      <c r="C216" s="21" t="n"/>
      <c r="D216" s="19" t="n"/>
      <c r="E216" s="19" t="n"/>
      <c r="F216" s="19" t="n"/>
      <c r="G216" s="19" t="n"/>
      <c r="H216" s="18">
        <f>IF(D216="","",IF(D216="No","Lost",IF(E216="Dofollow","Live","Live (nofollow)")))</f>
        <v/>
      </c>
      <c r="I216" s="19" t="n"/>
    </row>
    <row r="217">
      <c r="A217" s="19" t="n"/>
      <c r="B217" s="19" t="n"/>
      <c r="C217" s="21" t="n"/>
      <c r="D217" s="19" t="n"/>
      <c r="E217" s="19" t="n"/>
      <c r="F217" s="19" t="n"/>
      <c r="G217" s="19" t="n"/>
      <c r="H217" s="18">
        <f>IF(D217="","",IF(D217="No","Lost",IF(E217="Dofollow","Live","Live (nofollow)")))</f>
        <v/>
      </c>
      <c r="I217" s="19" t="n"/>
    </row>
    <row r="218">
      <c r="A218" s="19" t="n"/>
      <c r="B218" s="19" t="n"/>
      <c r="C218" s="21" t="n"/>
      <c r="D218" s="19" t="n"/>
      <c r="E218" s="19" t="n"/>
      <c r="F218" s="19" t="n"/>
      <c r="G218" s="19" t="n"/>
      <c r="H218" s="18">
        <f>IF(D218="","",IF(D218="No","Lost",IF(E218="Dofollow","Live","Live (nofollow)")))</f>
        <v/>
      </c>
      <c r="I218" s="19" t="n"/>
    </row>
    <row r="219">
      <c r="A219" s="19" t="n"/>
      <c r="B219" s="19" t="n"/>
      <c r="C219" s="21" t="n"/>
      <c r="D219" s="19" t="n"/>
      <c r="E219" s="19" t="n"/>
      <c r="F219" s="19" t="n"/>
      <c r="G219" s="19" t="n"/>
      <c r="H219" s="18">
        <f>IF(D219="","",IF(D219="No","Lost",IF(E219="Dofollow","Live","Live (nofollow)")))</f>
        <v/>
      </c>
      <c r="I219" s="19" t="n"/>
    </row>
    <row r="220">
      <c r="A220" s="19" t="n"/>
      <c r="B220" s="19" t="n"/>
      <c r="C220" s="21" t="n"/>
      <c r="D220" s="19" t="n"/>
      <c r="E220" s="19" t="n"/>
      <c r="F220" s="19" t="n"/>
      <c r="G220" s="19" t="n"/>
      <c r="H220" s="18">
        <f>IF(D220="","",IF(D220="No","Lost",IF(E220="Dofollow","Live","Live (nofollow)")))</f>
        <v/>
      </c>
      <c r="I220" s="19" t="n"/>
    </row>
    <row r="221">
      <c r="A221" s="19" t="n"/>
      <c r="B221" s="19" t="n"/>
      <c r="C221" s="21" t="n"/>
      <c r="D221" s="19" t="n"/>
      <c r="E221" s="19" t="n"/>
      <c r="F221" s="19" t="n"/>
      <c r="G221" s="19" t="n"/>
      <c r="H221" s="18">
        <f>IF(D221="","",IF(D221="No","Lost",IF(E221="Dofollow","Live","Live (nofollow)")))</f>
        <v/>
      </c>
      <c r="I221" s="19" t="n"/>
    </row>
    <row r="222">
      <c r="A222" s="19" t="n"/>
      <c r="B222" s="19" t="n"/>
      <c r="C222" s="21" t="n"/>
      <c r="D222" s="19" t="n"/>
      <c r="E222" s="19" t="n"/>
      <c r="F222" s="19" t="n"/>
      <c r="G222" s="19" t="n"/>
      <c r="H222" s="18">
        <f>IF(D222="","",IF(D222="No","Lost",IF(E222="Dofollow","Live","Live (nofollow)")))</f>
        <v/>
      </c>
      <c r="I222" s="19" t="n"/>
    </row>
    <row r="223">
      <c r="A223" s="19" t="n"/>
      <c r="B223" s="19" t="n"/>
      <c r="C223" s="21" t="n"/>
      <c r="D223" s="19" t="n"/>
      <c r="E223" s="19" t="n"/>
      <c r="F223" s="19" t="n"/>
      <c r="G223" s="19" t="n"/>
      <c r="H223" s="18">
        <f>IF(D223="","",IF(D223="No","Lost",IF(E223="Dofollow","Live","Live (nofollow)")))</f>
        <v/>
      </c>
      <c r="I223" s="19" t="n"/>
    </row>
    <row r="224">
      <c r="A224" s="19" t="n"/>
      <c r="B224" s="19" t="n"/>
      <c r="C224" s="21" t="n"/>
      <c r="D224" s="19" t="n"/>
      <c r="E224" s="19" t="n"/>
      <c r="F224" s="19" t="n"/>
      <c r="G224" s="19" t="n"/>
      <c r="H224" s="18">
        <f>IF(D224="","",IF(D224="No","Lost",IF(E224="Dofollow","Live","Live (nofollow)")))</f>
        <v/>
      </c>
      <c r="I224" s="19" t="n"/>
    </row>
    <row r="225">
      <c r="A225" s="19" t="n"/>
      <c r="B225" s="19" t="n"/>
      <c r="C225" s="21" t="n"/>
      <c r="D225" s="19" t="n"/>
      <c r="E225" s="19" t="n"/>
      <c r="F225" s="19" t="n"/>
      <c r="G225" s="19" t="n"/>
      <c r="H225" s="18">
        <f>IF(D225="","",IF(D225="No","Lost",IF(E225="Dofollow","Live","Live (nofollow)")))</f>
        <v/>
      </c>
      <c r="I225" s="19" t="n"/>
    </row>
    <row r="226">
      <c r="A226" s="19" t="n"/>
      <c r="B226" s="19" t="n"/>
      <c r="C226" s="21" t="n"/>
      <c r="D226" s="19" t="n"/>
      <c r="E226" s="19" t="n"/>
      <c r="F226" s="19" t="n"/>
      <c r="G226" s="19" t="n"/>
      <c r="H226" s="18">
        <f>IF(D226="","",IF(D226="No","Lost",IF(E226="Dofollow","Live","Live (nofollow)")))</f>
        <v/>
      </c>
      <c r="I226" s="19" t="n"/>
    </row>
    <row r="227">
      <c r="A227" s="19" t="n"/>
      <c r="B227" s="19" t="n"/>
      <c r="C227" s="21" t="n"/>
      <c r="D227" s="19" t="n"/>
      <c r="E227" s="19" t="n"/>
      <c r="F227" s="19" t="n"/>
      <c r="G227" s="19" t="n"/>
      <c r="H227" s="18">
        <f>IF(D227="","",IF(D227="No","Lost",IF(E227="Dofollow","Live","Live (nofollow)")))</f>
        <v/>
      </c>
      <c r="I227" s="19" t="n"/>
    </row>
    <row r="228">
      <c r="A228" s="19" t="n"/>
      <c r="B228" s="19" t="n"/>
      <c r="C228" s="21" t="n"/>
      <c r="D228" s="19" t="n"/>
      <c r="E228" s="19" t="n"/>
      <c r="F228" s="19" t="n"/>
      <c r="G228" s="19" t="n"/>
      <c r="H228" s="18">
        <f>IF(D228="","",IF(D228="No","Lost",IF(E228="Dofollow","Live","Live (nofollow)")))</f>
        <v/>
      </c>
      <c r="I228" s="19" t="n"/>
    </row>
    <row r="229">
      <c r="A229" s="19" t="n"/>
      <c r="B229" s="19" t="n"/>
      <c r="C229" s="21" t="n"/>
      <c r="D229" s="19" t="n"/>
      <c r="E229" s="19" t="n"/>
      <c r="F229" s="19" t="n"/>
      <c r="G229" s="19" t="n"/>
      <c r="H229" s="18">
        <f>IF(D229="","",IF(D229="No","Lost",IF(E229="Dofollow","Live","Live (nofollow)")))</f>
        <v/>
      </c>
      <c r="I229" s="19" t="n"/>
    </row>
    <row r="230">
      <c r="A230" s="19" t="n"/>
      <c r="B230" s="19" t="n"/>
      <c r="C230" s="21" t="n"/>
      <c r="D230" s="19" t="n"/>
      <c r="E230" s="19" t="n"/>
      <c r="F230" s="19" t="n"/>
      <c r="G230" s="19" t="n"/>
      <c r="H230" s="18">
        <f>IF(D230="","",IF(D230="No","Lost",IF(E230="Dofollow","Live","Live (nofollow)")))</f>
        <v/>
      </c>
      <c r="I230" s="19" t="n"/>
    </row>
    <row r="231">
      <c r="A231" s="19" t="n"/>
      <c r="B231" s="19" t="n"/>
      <c r="C231" s="21" t="n"/>
      <c r="D231" s="19" t="n"/>
      <c r="E231" s="19" t="n"/>
      <c r="F231" s="19" t="n"/>
      <c r="G231" s="19" t="n"/>
      <c r="H231" s="18">
        <f>IF(D231="","",IF(D231="No","Lost",IF(E231="Dofollow","Live","Live (nofollow)")))</f>
        <v/>
      </c>
      <c r="I231" s="19" t="n"/>
    </row>
    <row r="232">
      <c r="A232" s="19" t="n"/>
      <c r="B232" s="19" t="n"/>
      <c r="C232" s="21" t="n"/>
      <c r="D232" s="19" t="n"/>
      <c r="E232" s="19" t="n"/>
      <c r="F232" s="19" t="n"/>
      <c r="G232" s="19" t="n"/>
      <c r="H232" s="18">
        <f>IF(D232="","",IF(D232="No","Lost",IF(E232="Dofollow","Live","Live (nofollow)")))</f>
        <v/>
      </c>
      <c r="I232" s="19" t="n"/>
    </row>
    <row r="233">
      <c r="A233" s="19" t="n"/>
      <c r="B233" s="19" t="n"/>
      <c r="C233" s="21" t="n"/>
      <c r="D233" s="19" t="n"/>
      <c r="E233" s="19" t="n"/>
      <c r="F233" s="19" t="n"/>
      <c r="G233" s="19" t="n"/>
      <c r="H233" s="18">
        <f>IF(D233="","",IF(D233="No","Lost",IF(E233="Dofollow","Live","Live (nofollow)")))</f>
        <v/>
      </c>
      <c r="I233" s="19" t="n"/>
    </row>
    <row r="234">
      <c r="A234" s="19" t="n"/>
      <c r="B234" s="19" t="n"/>
      <c r="C234" s="21" t="n"/>
      <c r="D234" s="19" t="n"/>
      <c r="E234" s="19" t="n"/>
      <c r="F234" s="19" t="n"/>
      <c r="G234" s="19" t="n"/>
      <c r="H234" s="18">
        <f>IF(D234="","",IF(D234="No","Lost",IF(E234="Dofollow","Live","Live (nofollow)")))</f>
        <v/>
      </c>
      <c r="I234" s="19" t="n"/>
    </row>
    <row r="235">
      <c r="A235" s="19" t="n"/>
      <c r="B235" s="19" t="n"/>
      <c r="C235" s="21" t="n"/>
      <c r="D235" s="19" t="n"/>
      <c r="E235" s="19" t="n"/>
      <c r="F235" s="19" t="n"/>
      <c r="G235" s="19" t="n"/>
      <c r="H235" s="18">
        <f>IF(D235="","",IF(D235="No","Lost",IF(E235="Dofollow","Live","Live (nofollow)")))</f>
        <v/>
      </c>
      <c r="I235" s="19" t="n"/>
    </row>
    <row r="236">
      <c r="A236" s="19" t="n"/>
      <c r="B236" s="19" t="n"/>
      <c r="C236" s="21" t="n"/>
      <c r="D236" s="19" t="n"/>
      <c r="E236" s="19" t="n"/>
      <c r="F236" s="19" t="n"/>
      <c r="G236" s="19" t="n"/>
      <c r="H236" s="18">
        <f>IF(D236="","",IF(D236="No","Lost",IF(E236="Dofollow","Live","Live (nofollow)")))</f>
        <v/>
      </c>
      <c r="I236" s="19" t="n"/>
    </row>
    <row r="237">
      <c r="A237" s="19" t="n"/>
      <c r="B237" s="19" t="n"/>
      <c r="C237" s="21" t="n"/>
      <c r="D237" s="19" t="n"/>
      <c r="E237" s="19" t="n"/>
      <c r="F237" s="19" t="n"/>
      <c r="G237" s="19" t="n"/>
      <c r="H237" s="18">
        <f>IF(D237="","",IF(D237="No","Lost",IF(E237="Dofollow","Live","Live (nofollow)")))</f>
        <v/>
      </c>
      <c r="I237" s="19" t="n"/>
    </row>
    <row r="238">
      <c r="A238" s="19" t="n"/>
      <c r="B238" s="19" t="n"/>
      <c r="C238" s="21" t="n"/>
      <c r="D238" s="19" t="n"/>
      <c r="E238" s="19" t="n"/>
      <c r="F238" s="19" t="n"/>
      <c r="G238" s="19" t="n"/>
      <c r="H238" s="18">
        <f>IF(D238="","",IF(D238="No","Lost",IF(E238="Dofollow","Live","Live (nofollow)")))</f>
        <v/>
      </c>
      <c r="I238" s="19" t="n"/>
    </row>
    <row r="239">
      <c r="A239" s="19" t="n"/>
      <c r="B239" s="19" t="n"/>
      <c r="C239" s="21" t="n"/>
      <c r="D239" s="19" t="n"/>
      <c r="E239" s="19" t="n"/>
      <c r="F239" s="19" t="n"/>
      <c r="G239" s="19" t="n"/>
      <c r="H239" s="18">
        <f>IF(D239="","",IF(D239="No","Lost",IF(E239="Dofollow","Live","Live (nofollow)")))</f>
        <v/>
      </c>
      <c r="I239" s="19" t="n"/>
    </row>
    <row r="240">
      <c r="A240" s="19" t="n"/>
      <c r="B240" s="19" t="n"/>
      <c r="C240" s="21" t="n"/>
      <c r="D240" s="19" t="n"/>
      <c r="E240" s="19" t="n"/>
      <c r="F240" s="19" t="n"/>
      <c r="G240" s="19" t="n"/>
      <c r="H240" s="18">
        <f>IF(D240="","",IF(D240="No","Lost",IF(E240="Dofollow","Live","Live (nofollow)")))</f>
        <v/>
      </c>
      <c r="I240" s="19" t="n"/>
    </row>
    <row r="241">
      <c r="A241" s="19" t="n"/>
      <c r="B241" s="19" t="n"/>
      <c r="C241" s="21" t="n"/>
      <c r="D241" s="19" t="n"/>
      <c r="E241" s="19" t="n"/>
      <c r="F241" s="19" t="n"/>
      <c r="G241" s="19" t="n"/>
      <c r="H241" s="18">
        <f>IF(D241="","",IF(D241="No","Lost",IF(E241="Dofollow","Live","Live (nofollow)")))</f>
        <v/>
      </c>
      <c r="I241" s="19" t="n"/>
    </row>
    <row r="242">
      <c r="A242" s="19" t="n"/>
      <c r="B242" s="19" t="n"/>
      <c r="C242" s="21" t="n"/>
      <c r="D242" s="19" t="n"/>
      <c r="E242" s="19" t="n"/>
      <c r="F242" s="19" t="n"/>
      <c r="G242" s="19" t="n"/>
      <c r="H242" s="18">
        <f>IF(D242="","",IF(D242="No","Lost",IF(E242="Dofollow","Live","Live (nofollow)")))</f>
        <v/>
      </c>
      <c r="I242" s="19" t="n"/>
    </row>
    <row r="243">
      <c r="A243" s="19" t="n"/>
      <c r="B243" s="19" t="n"/>
      <c r="C243" s="21" t="n"/>
      <c r="D243" s="19" t="n"/>
      <c r="E243" s="19" t="n"/>
      <c r="F243" s="19" t="n"/>
      <c r="G243" s="19" t="n"/>
      <c r="H243" s="18">
        <f>IF(D243="","",IF(D243="No","Lost",IF(E243="Dofollow","Live","Live (nofollow)")))</f>
        <v/>
      </c>
      <c r="I243" s="19" t="n"/>
    </row>
    <row r="244">
      <c r="A244" s="19" t="n"/>
      <c r="B244" s="19" t="n"/>
      <c r="C244" s="21" t="n"/>
      <c r="D244" s="19" t="n"/>
      <c r="E244" s="19" t="n"/>
      <c r="F244" s="19" t="n"/>
      <c r="G244" s="19" t="n"/>
      <c r="H244" s="18">
        <f>IF(D244="","",IF(D244="No","Lost",IF(E244="Dofollow","Live","Live (nofollow)")))</f>
        <v/>
      </c>
      <c r="I244" s="19" t="n"/>
    </row>
    <row r="245">
      <c r="A245" s="19" t="n"/>
      <c r="B245" s="19" t="n"/>
      <c r="C245" s="21" t="n"/>
      <c r="D245" s="19" t="n"/>
      <c r="E245" s="19" t="n"/>
      <c r="F245" s="19" t="n"/>
      <c r="G245" s="19" t="n"/>
      <c r="H245" s="18">
        <f>IF(D245="","",IF(D245="No","Lost",IF(E245="Dofollow","Live","Live (nofollow)")))</f>
        <v/>
      </c>
      <c r="I245" s="19" t="n"/>
    </row>
    <row r="246">
      <c r="A246" s="19" t="n"/>
      <c r="B246" s="19" t="n"/>
      <c r="C246" s="21" t="n"/>
      <c r="D246" s="19" t="n"/>
      <c r="E246" s="19" t="n"/>
      <c r="F246" s="19" t="n"/>
      <c r="G246" s="19" t="n"/>
      <c r="H246" s="18">
        <f>IF(D246="","",IF(D246="No","Lost",IF(E246="Dofollow","Live","Live (nofollow)")))</f>
        <v/>
      </c>
      <c r="I246" s="19" t="n"/>
    </row>
    <row r="247">
      <c r="A247" s="19" t="n"/>
      <c r="B247" s="19" t="n"/>
      <c r="C247" s="21" t="n"/>
      <c r="D247" s="19" t="n"/>
      <c r="E247" s="19" t="n"/>
      <c r="F247" s="19" t="n"/>
      <c r="G247" s="19" t="n"/>
      <c r="H247" s="18">
        <f>IF(D247="","",IF(D247="No","Lost",IF(E247="Dofollow","Live","Live (nofollow)")))</f>
        <v/>
      </c>
      <c r="I247" s="19" t="n"/>
    </row>
    <row r="248">
      <c r="A248" s="19" t="n"/>
      <c r="B248" s="19" t="n"/>
      <c r="C248" s="21" t="n"/>
      <c r="D248" s="19" t="n"/>
      <c r="E248" s="19" t="n"/>
      <c r="F248" s="19" t="n"/>
      <c r="G248" s="19" t="n"/>
      <c r="H248" s="18">
        <f>IF(D248="","",IF(D248="No","Lost",IF(E248="Dofollow","Live","Live (nofollow)")))</f>
        <v/>
      </c>
      <c r="I248" s="19" t="n"/>
    </row>
    <row r="249">
      <c r="A249" s="19" t="n"/>
      <c r="B249" s="19" t="n"/>
      <c r="C249" s="21" t="n"/>
      <c r="D249" s="19" t="n"/>
      <c r="E249" s="19" t="n"/>
      <c r="F249" s="19" t="n"/>
      <c r="G249" s="19" t="n"/>
      <c r="H249" s="18">
        <f>IF(D249="","",IF(D249="No","Lost",IF(E249="Dofollow","Live","Live (nofollow)")))</f>
        <v/>
      </c>
      <c r="I249" s="19" t="n"/>
    </row>
    <row r="250">
      <c r="A250" s="19" t="n"/>
      <c r="B250" s="19" t="n"/>
      <c r="C250" s="21" t="n"/>
      <c r="D250" s="19" t="n"/>
      <c r="E250" s="19" t="n"/>
      <c r="F250" s="19" t="n"/>
      <c r="G250" s="19" t="n"/>
      <c r="H250" s="18">
        <f>IF(D250="","",IF(D250="No","Lost",IF(E250="Dofollow","Live","Live (nofollow)")))</f>
        <v/>
      </c>
      <c r="I250" s="19" t="n"/>
    </row>
    <row r="251">
      <c r="A251" s="19" t="n"/>
      <c r="B251" s="19" t="n"/>
      <c r="C251" s="21" t="n"/>
      <c r="D251" s="19" t="n"/>
      <c r="E251" s="19" t="n"/>
      <c r="F251" s="19" t="n"/>
      <c r="G251" s="19" t="n"/>
      <c r="H251" s="18">
        <f>IF(D251="","",IF(D251="No","Lost",IF(E251="Dofollow","Live","Live (nofollow)")))</f>
        <v/>
      </c>
      <c r="I251" s="19" t="n"/>
    </row>
    <row r="252">
      <c r="A252" s="19" t="n"/>
      <c r="B252" s="19" t="n"/>
      <c r="C252" s="21" t="n"/>
      <c r="D252" s="19" t="n"/>
      <c r="E252" s="19" t="n"/>
      <c r="F252" s="19" t="n"/>
      <c r="G252" s="19" t="n"/>
      <c r="H252" s="18">
        <f>IF(D252="","",IF(D252="No","Lost",IF(E252="Dofollow","Live","Live (nofollow)")))</f>
        <v/>
      </c>
      <c r="I252" s="19" t="n"/>
    </row>
    <row r="253">
      <c r="A253" s="19" t="n"/>
      <c r="B253" s="19" t="n"/>
      <c r="C253" s="21" t="n"/>
      <c r="D253" s="19" t="n"/>
      <c r="E253" s="19" t="n"/>
      <c r="F253" s="19" t="n"/>
      <c r="G253" s="19" t="n"/>
      <c r="H253" s="18">
        <f>IF(D253="","",IF(D253="No","Lost",IF(E253="Dofollow","Live","Live (nofollow)")))</f>
        <v/>
      </c>
      <c r="I253" s="19" t="n"/>
    </row>
    <row r="254">
      <c r="A254" s="19" t="n"/>
      <c r="B254" s="19" t="n"/>
      <c r="C254" s="21" t="n"/>
      <c r="D254" s="19" t="n"/>
      <c r="E254" s="19" t="n"/>
      <c r="F254" s="19" t="n"/>
      <c r="G254" s="19" t="n"/>
      <c r="H254" s="18">
        <f>IF(D254="","",IF(D254="No","Lost",IF(E254="Dofollow","Live","Live (nofollow)")))</f>
        <v/>
      </c>
      <c r="I254" s="19" t="n"/>
    </row>
    <row r="255">
      <c r="A255" s="19" t="n"/>
      <c r="B255" s="19" t="n"/>
      <c r="C255" s="21" t="n"/>
      <c r="D255" s="19" t="n"/>
      <c r="E255" s="19" t="n"/>
      <c r="F255" s="19" t="n"/>
      <c r="G255" s="19" t="n"/>
      <c r="H255" s="18">
        <f>IF(D255="","",IF(D255="No","Lost",IF(E255="Dofollow","Live","Live (nofollow)")))</f>
        <v/>
      </c>
      <c r="I255" s="19" t="n"/>
    </row>
    <row r="256">
      <c r="A256" s="19" t="n"/>
      <c r="B256" s="19" t="n"/>
      <c r="C256" s="21" t="n"/>
      <c r="D256" s="19" t="n"/>
      <c r="E256" s="19" t="n"/>
      <c r="F256" s="19" t="n"/>
      <c r="G256" s="19" t="n"/>
      <c r="H256" s="18">
        <f>IF(D256="","",IF(D256="No","Lost",IF(E256="Dofollow","Live","Live (nofollow)")))</f>
        <v/>
      </c>
      <c r="I256" s="19" t="n"/>
    </row>
    <row r="257">
      <c r="A257" s="19" t="n"/>
      <c r="B257" s="19" t="n"/>
      <c r="C257" s="21" t="n"/>
      <c r="D257" s="19" t="n"/>
      <c r="E257" s="19" t="n"/>
      <c r="F257" s="19" t="n"/>
      <c r="G257" s="19" t="n"/>
      <c r="H257" s="18">
        <f>IF(D257="","",IF(D257="No","Lost",IF(E257="Dofollow","Live","Live (nofollow)")))</f>
        <v/>
      </c>
      <c r="I257" s="19" t="n"/>
    </row>
    <row r="258">
      <c r="A258" s="19" t="n"/>
      <c r="B258" s="19" t="n"/>
      <c r="C258" s="21" t="n"/>
      <c r="D258" s="19" t="n"/>
      <c r="E258" s="19" t="n"/>
      <c r="F258" s="19" t="n"/>
      <c r="G258" s="19" t="n"/>
      <c r="H258" s="18">
        <f>IF(D258="","",IF(D258="No","Lost",IF(E258="Dofollow","Live","Live (nofollow)")))</f>
        <v/>
      </c>
      <c r="I258" s="19" t="n"/>
    </row>
    <row r="259">
      <c r="A259" s="19" t="n"/>
      <c r="B259" s="19" t="n"/>
      <c r="C259" s="21" t="n"/>
      <c r="D259" s="19" t="n"/>
      <c r="E259" s="19" t="n"/>
      <c r="F259" s="19" t="n"/>
      <c r="G259" s="19" t="n"/>
      <c r="H259" s="18">
        <f>IF(D259="","",IF(D259="No","Lost",IF(E259="Dofollow","Live","Live (nofollow)")))</f>
        <v/>
      </c>
      <c r="I259" s="19" t="n"/>
    </row>
    <row r="260">
      <c r="A260" s="19" t="n"/>
      <c r="B260" s="19" t="n"/>
      <c r="C260" s="21" t="n"/>
      <c r="D260" s="19" t="n"/>
      <c r="E260" s="19" t="n"/>
      <c r="F260" s="19" t="n"/>
      <c r="G260" s="19" t="n"/>
      <c r="H260" s="18">
        <f>IF(D260="","",IF(D260="No","Lost",IF(E260="Dofollow","Live","Live (nofollow)")))</f>
        <v/>
      </c>
      <c r="I260" s="19" t="n"/>
    </row>
    <row r="261">
      <c r="A261" s="19" t="n"/>
      <c r="B261" s="19" t="n"/>
      <c r="C261" s="21" t="n"/>
      <c r="D261" s="19" t="n"/>
      <c r="E261" s="19" t="n"/>
      <c r="F261" s="19" t="n"/>
      <c r="G261" s="19" t="n"/>
      <c r="H261" s="18">
        <f>IF(D261="","",IF(D261="No","Lost",IF(E261="Dofollow","Live","Live (nofollow)")))</f>
        <v/>
      </c>
      <c r="I261" s="19" t="n"/>
    </row>
    <row r="262">
      <c r="A262" s="19" t="n"/>
      <c r="B262" s="19" t="n"/>
      <c r="C262" s="21" t="n"/>
      <c r="D262" s="19" t="n"/>
      <c r="E262" s="19" t="n"/>
      <c r="F262" s="19" t="n"/>
      <c r="G262" s="19" t="n"/>
      <c r="H262" s="18">
        <f>IF(D262="","",IF(D262="No","Lost",IF(E262="Dofollow","Live","Live (nofollow)")))</f>
        <v/>
      </c>
      <c r="I262" s="19" t="n"/>
    </row>
    <row r="263">
      <c r="A263" s="19" t="n"/>
      <c r="B263" s="19" t="n"/>
      <c r="C263" s="21" t="n"/>
      <c r="D263" s="19" t="n"/>
      <c r="E263" s="19" t="n"/>
      <c r="F263" s="19" t="n"/>
      <c r="G263" s="19" t="n"/>
      <c r="H263" s="18">
        <f>IF(D263="","",IF(D263="No","Lost",IF(E263="Dofollow","Live","Live (nofollow)")))</f>
        <v/>
      </c>
      <c r="I263" s="19" t="n"/>
    </row>
    <row r="264">
      <c r="A264" s="19" t="n"/>
      <c r="B264" s="19" t="n"/>
      <c r="C264" s="21" t="n"/>
      <c r="D264" s="19" t="n"/>
      <c r="E264" s="19" t="n"/>
      <c r="F264" s="19" t="n"/>
      <c r="G264" s="19" t="n"/>
      <c r="H264" s="18">
        <f>IF(D264="","",IF(D264="No","Lost",IF(E264="Dofollow","Live","Live (nofollow)")))</f>
        <v/>
      </c>
      <c r="I264" s="19" t="n"/>
    </row>
    <row r="265">
      <c r="A265" s="19" t="n"/>
      <c r="B265" s="19" t="n"/>
      <c r="C265" s="21" t="n"/>
      <c r="D265" s="19" t="n"/>
      <c r="E265" s="19" t="n"/>
      <c r="F265" s="19" t="n"/>
      <c r="G265" s="19" t="n"/>
      <c r="H265" s="18">
        <f>IF(D265="","",IF(D265="No","Lost",IF(E265="Dofollow","Live","Live (nofollow)")))</f>
        <v/>
      </c>
      <c r="I265" s="19" t="n"/>
    </row>
    <row r="266">
      <c r="A266" s="19" t="n"/>
      <c r="B266" s="19" t="n"/>
      <c r="C266" s="21" t="n"/>
      <c r="D266" s="19" t="n"/>
      <c r="E266" s="19" t="n"/>
      <c r="F266" s="19" t="n"/>
      <c r="G266" s="19" t="n"/>
      <c r="H266" s="18">
        <f>IF(D266="","",IF(D266="No","Lost",IF(E266="Dofollow","Live","Live (nofollow)")))</f>
        <v/>
      </c>
      <c r="I266" s="19" t="n"/>
    </row>
    <row r="267">
      <c r="A267" s="19" t="n"/>
      <c r="B267" s="19" t="n"/>
      <c r="C267" s="21" t="n"/>
      <c r="D267" s="19" t="n"/>
      <c r="E267" s="19" t="n"/>
      <c r="F267" s="19" t="n"/>
      <c r="G267" s="19" t="n"/>
      <c r="H267" s="18">
        <f>IF(D267="","",IF(D267="No","Lost",IF(E267="Dofollow","Live","Live (nofollow)")))</f>
        <v/>
      </c>
      <c r="I267" s="19" t="n"/>
    </row>
    <row r="268">
      <c r="A268" s="19" t="n"/>
      <c r="B268" s="19" t="n"/>
      <c r="C268" s="21" t="n"/>
      <c r="D268" s="19" t="n"/>
      <c r="E268" s="19" t="n"/>
      <c r="F268" s="19" t="n"/>
      <c r="G268" s="19" t="n"/>
      <c r="H268" s="18">
        <f>IF(D268="","",IF(D268="No","Lost",IF(E268="Dofollow","Live","Live (nofollow)")))</f>
        <v/>
      </c>
      <c r="I268" s="19" t="n"/>
    </row>
    <row r="269">
      <c r="A269" s="19" t="n"/>
      <c r="B269" s="19" t="n"/>
      <c r="C269" s="21" t="n"/>
      <c r="D269" s="19" t="n"/>
      <c r="E269" s="19" t="n"/>
      <c r="F269" s="19" t="n"/>
      <c r="G269" s="19" t="n"/>
      <c r="H269" s="18">
        <f>IF(D269="","",IF(D269="No","Lost",IF(E269="Dofollow","Live","Live (nofollow)")))</f>
        <v/>
      </c>
      <c r="I269" s="19" t="n"/>
    </row>
    <row r="270">
      <c r="A270" s="19" t="n"/>
      <c r="B270" s="19" t="n"/>
      <c r="C270" s="21" t="n"/>
      <c r="D270" s="19" t="n"/>
      <c r="E270" s="19" t="n"/>
      <c r="F270" s="19" t="n"/>
      <c r="G270" s="19" t="n"/>
      <c r="H270" s="18">
        <f>IF(D270="","",IF(D270="No","Lost",IF(E270="Dofollow","Live","Live (nofollow)")))</f>
        <v/>
      </c>
      <c r="I270" s="19" t="n"/>
    </row>
    <row r="271">
      <c r="A271" s="19" t="n"/>
      <c r="B271" s="19" t="n"/>
      <c r="C271" s="21" t="n"/>
      <c r="D271" s="19" t="n"/>
      <c r="E271" s="19" t="n"/>
      <c r="F271" s="19" t="n"/>
      <c r="G271" s="19" t="n"/>
      <c r="H271" s="18">
        <f>IF(D271="","",IF(D271="No","Lost",IF(E271="Dofollow","Live","Live (nofollow)")))</f>
        <v/>
      </c>
      <c r="I271" s="19" t="n"/>
    </row>
    <row r="272">
      <c r="A272" s="19" t="n"/>
      <c r="B272" s="19" t="n"/>
      <c r="C272" s="21" t="n"/>
      <c r="D272" s="19" t="n"/>
      <c r="E272" s="19" t="n"/>
      <c r="F272" s="19" t="n"/>
      <c r="G272" s="19" t="n"/>
      <c r="H272" s="18">
        <f>IF(D272="","",IF(D272="No","Lost",IF(E272="Dofollow","Live","Live (nofollow)")))</f>
        <v/>
      </c>
      <c r="I272" s="19" t="n"/>
    </row>
    <row r="273">
      <c r="A273" s="19" t="n"/>
      <c r="B273" s="19" t="n"/>
      <c r="C273" s="21" t="n"/>
      <c r="D273" s="19" t="n"/>
      <c r="E273" s="19" t="n"/>
      <c r="F273" s="19" t="n"/>
      <c r="G273" s="19" t="n"/>
      <c r="H273" s="18">
        <f>IF(D273="","",IF(D273="No","Lost",IF(E273="Dofollow","Live","Live (nofollow)")))</f>
        <v/>
      </c>
      <c r="I273" s="19" t="n"/>
    </row>
    <row r="274">
      <c r="A274" s="19" t="n"/>
      <c r="B274" s="19" t="n"/>
      <c r="C274" s="21" t="n"/>
      <c r="D274" s="19" t="n"/>
      <c r="E274" s="19" t="n"/>
      <c r="F274" s="19" t="n"/>
      <c r="G274" s="19" t="n"/>
      <c r="H274" s="18">
        <f>IF(D274="","",IF(D274="No","Lost",IF(E274="Dofollow","Live","Live (nofollow)")))</f>
        <v/>
      </c>
      <c r="I274" s="19" t="n"/>
    </row>
    <row r="275">
      <c r="A275" s="19" t="n"/>
      <c r="B275" s="19" t="n"/>
      <c r="C275" s="21" t="n"/>
      <c r="D275" s="19" t="n"/>
      <c r="E275" s="19" t="n"/>
      <c r="F275" s="19" t="n"/>
      <c r="G275" s="19" t="n"/>
      <c r="H275" s="18">
        <f>IF(D275="","",IF(D275="No","Lost",IF(E275="Dofollow","Live","Live (nofollow)")))</f>
        <v/>
      </c>
      <c r="I275" s="19" t="n"/>
    </row>
    <row r="276">
      <c r="A276" s="19" t="n"/>
      <c r="B276" s="19" t="n"/>
      <c r="C276" s="21" t="n"/>
      <c r="D276" s="19" t="n"/>
      <c r="E276" s="19" t="n"/>
      <c r="F276" s="19" t="n"/>
      <c r="G276" s="19" t="n"/>
      <c r="H276" s="18">
        <f>IF(D276="","",IF(D276="No","Lost",IF(E276="Dofollow","Live","Live (nofollow)")))</f>
        <v/>
      </c>
      <c r="I276" s="19" t="n"/>
    </row>
    <row r="277">
      <c r="A277" s="19" t="n"/>
      <c r="B277" s="19" t="n"/>
      <c r="C277" s="21" t="n"/>
      <c r="D277" s="19" t="n"/>
      <c r="E277" s="19" t="n"/>
      <c r="F277" s="19" t="n"/>
      <c r="G277" s="19" t="n"/>
      <c r="H277" s="18">
        <f>IF(D277="","",IF(D277="No","Lost",IF(E277="Dofollow","Live","Live (nofollow)")))</f>
        <v/>
      </c>
      <c r="I277" s="19" t="n"/>
    </row>
    <row r="278">
      <c r="A278" s="19" t="n"/>
      <c r="B278" s="19" t="n"/>
      <c r="C278" s="21" t="n"/>
      <c r="D278" s="19" t="n"/>
      <c r="E278" s="19" t="n"/>
      <c r="F278" s="19" t="n"/>
      <c r="G278" s="19" t="n"/>
      <c r="H278" s="18">
        <f>IF(D278="","",IF(D278="No","Lost",IF(E278="Dofollow","Live","Live (nofollow)")))</f>
        <v/>
      </c>
      <c r="I278" s="19" t="n"/>
    </row>
    <row r="279">
      <c r="A279" s="19" t="n"/>
      <c r="B279" s="19" t="n"/>
      <c r="C279" s="21" t="n"/>
      <c r="D279" s="19" t="n"/>
      <c r="E279" s="19" t="n"/>
      <c r="F279" s="19" t="n"/>
      <c r="G279" s="19" t="n"/>
      <c r="H279" s="18">
        <f>IF(D279="","",IF(D279="No","Lost",IF(E279="Dofollow","Live","Live (nofollow)")))</f>
        <v/>
      </c>
      <c r="I279" s="19" t="n"/>
    </row>
    <row r="280">
      <c r="A280" s="19" t="n"/>
      <c r="B280" s="19" t="n"/>
      <c r="C280" s="21" t="n"/>
      <c r="D280" s="19" t="n"/>
      <c r="E280" s="19" t="n"/>
      <c r="F280" s="19" t="n"/>
      <c r="G280" s="19" t="n"/>
      <c r="H280" s="18">
        <f>IF(D280="","",IF(D280="No","Lost",IF(E280="Dofollow","Live","Live (nofollow)")))</f>
        <v/>
      </c>
      <c r="I280" s="19" t="n"/>
    </row>
    <row r="281">
      <c r="A281" s="19" t="n"/>
      <c r="B281" s="19" t="n"/>
      <c r="C281" s="21" t="n"/>
      <c r="D281" s="19" t="n"/>
      <c r="E281" s="19" t="n"/>
      <c r="F281" s="19" t="n"/>
      <c r="G281" s="19" t="n"/>
      <c r="H281" s="18">
        <f>IF(D281="","",IF(D281="No","Lost",IF(E281="Dofollow","Live","Live (nofollow)")))</f>
        <v/>
      </c>
      <c r="I281" s="19" t="n"/>
    </row>
    <row r="282">
      <c r="A282" s="19" t="n"/>
      <c r="B282" s="19" t="n"/>
      <c r="C282" s="21" t="n"/>
      <c r="D282" s="19" t="n"/>
      <c r="E282" s="19" t="n"/>
      <c r="F282" s="19" t="n"/>
      <c r="G282" s="19" t="n"/>
      <c r="H282" s="18">
        <f>IF(D282="","",IF(D282="No","Lost",IF(E282="Dofollow","Live","Live (nofollow)")))</f>
        <v/>
      </c>
      <c r="I282" s="19" t="n"/>
    </row>
    <row r="283">
      <c r="A283" s="19" t="n"/>
      <c r="B283" s="19" t="n"/>
      <c r="C283" s="21" t="n"/>
      <c r="D283" s="19" t="n"/>
      <c r="E283" s="19" t="n"/>
      <c r="F283" s="19" t="n"/>
      <c r="G283" s="19" t="n"/>
      <c r="H283" s="18">
        <f>IF(D283="","",IF(D283="No","Lost",IF(E283="Dofollow","Live","Live (nofollow)")))</f>
        <v/>
      </c>
      <c r="I283" s="19" t="n"/>
    </row>
    <row r="284">
      <c r="A284" s="19" t="n"/>
      <c r="B284" s="19" t="n"/>
      <c r="C284" s="21" t="n"/>
      <c r="D284" s="19" t="n"/>
      <c r="E284" s="19" t="n"/>
      <c r="F284" s="19" t="n"/>
      <c r="G284" s="19" t="n"/>
      <c r="H284" s="18">
        <f>IF(D284="","",IF(D284="No","Lost",IF(E284="Dofollow","Live","Live (nofollow)")))</f>
        <v/>
      </c>
      <c r="I284" s="19" t="n"/>
    </row>
    <row r="285">
      <c r="A285" s="19" t="n"/>
      <c r="B285" s="19" t="n"/>
      <c r="C285" s="21" t="n"/>
      <c r="D285" s="19" t="n"/>
      <c r="E285" s="19" t="n"/>
      <c r="F285" s="19" t="n"/>
      <c r="G285" s="19" t="n"/>
      <c r="H285" s="18">
        <f>IF(D285="","",IF(D285="No","Lost",IF(E285="Dofollow","Live","Live (nofollow)")))</f>
        <v/>
      </c>
      <c r="I285" s="19" t="n"/>
    </row>
    <row r="286">
      <c r="A286" s="19" t="n"/>
      <c r="B286" s="19" t="n"/>
      <c r="C286" s="21" t="n"/>
      <c r="D286" s="19" t="n"/>
      <c r="E286" s="19" t="n"/>
      <c r="F286" s="19" t="n"/>
      <c r="G286" s="19" t="n"/>
      <c r="H286" s="18">
        <f>IF(D286="","",IF(D286="No","Lost",IF(E286="Dofollow","Live","Live (nofollow)")))</f>
        <v/>
      </c>
      <c r="I286" s="19" t="n"/>
    </row>
    <row r="287">
      <c r="A287" s="19" t="n"/>
      <c r="B287" s="19" t="n"/>
      <c r="C287" s="21" t="n"/>
      <c r="D287" s="19" t="n"/>
      <c r="E287" s="19" t="n"/>
      <c r="F287" s="19" t="n"/>
      <c r="G287" s="19" t="n"/>
      <c r="H287" s="18">
        <f>IF(D287="","",IF(D287="No","Lost",IF(E287="Dofollow","Live","Live (nofollow)")))</f>
        <v/>
      </c>
      <c r="I287" s="19" t="n"/>
    </row>
    <row r="288">
      <c r="A288" s="19" t="n"/>
      <c r="B288" s="19" t="n"/>
      <c r="C288" s="21" t="n"/>
      <c r="D288" s="19" t="n"/>
      <c r="E288" s="19" t="n"/>
      <c r="F288" s="19" t="n"/>
      <c r="G288" s="19" t="n"/>
      <c r="H288" s="18">
        <f>IF(D288="","",IF(D288="No","Lost",IF(E288="Dofollow","Live","Live (nofollow)")))</f>
        <v/>
      </c>
      <c r="I288" s="19" t="n"/>
    </row>
    <row r="289">
      <c r="A289" s="19" t="n"/>
      <c r="B289" s="19" t="n"/>
      <c r="C289" s="21" t="n"/>
      <c r="D289" s="19" t="n"/>
      <c r="E289" s="19" t="n"/>
      <c r="F289" s="19" t="n"/>
      <c r="G289" s="19" t="n"/>
      <c r="H289" s="18">
        <f>IF(D289="","",IF(D289="No","Lost",IF(E289="Dofollow","Live","Live (nofollow)")))</f>
        <v/>
      </c>
      <c r="I289" s="19" t="n"/>
    </row>
    <row r="290">
      <c r="A290" s="19" t="n"/>
      <c r="B290" s="19" t="n"/>
      <c r="C290" s="21" t="n"/>
      <c r="D290" s="19" t="n"/>
      <c r="E290" s="19" t="n"/>
      <c r="F290" s="19" t="n"/>
      <c r="G290" s="19" t="n"/>
      <c r="H290" s="18">
        <f>IF(D290="","",IF(D290="No","Lost",IF(E290="Dofollow","Live","Live (nofollow)")))</f>
        <v/>
      </c>
      <c r="I290" s="19" t="n"/>
    </row>
    <row r="291">
      <c r="A291" s="19" t="n"/>
      <c r="B291" s="19" t="n"/>
      <c r="C291" s="21" t="n"/>
      <c r="D291" s="19" t="n"/>
      <c r="E291" s="19" t="n"/>
      <c r="F291" s="19" t="n"/>
      <c r="G291" s="19" t="n"/>
      <c r="H291" s="18">
        <f>IF(D291="","",IF(D291="No","Lost",IF(E291="Dofollow","Live","Live (nofollow)")))</f>
        <v/>
      </c>
      <c r="I291" s="19" t="n"/>
    </row>
    <row r="292">
      <c r="A292" s="19" t="n"/>
      <c r="B292" s="19" t="n"/>
      <c r="C292" s="21" t="n"/>
      <c r="D292" s="19" t="n"/>
      <c r="E292" s="19" t="n"/>
      <c r="F292" s="19" t="n"/>
      <c r="G292" s="19" t="n"/>
      <c r="H292" s="18">
        <f>IF(D292="","",IF(D292="No","Lost",IF(E292="Dofollow","Live","Live (nofollow)")))</f>
        <v/>
      </c>
      <c r="I292" s="19" t="n"/>
    </row>
    <row r="293">
      <c r="A293" s="19" t="n"/>
      <c r="B293" s="19" t="n"/>
      <c r="C293" s="21" t="n"/>
      <c r="D293" s="19" t="n"/>
      <c r="E293" s="19" t="n"/>
      <c r="F293" s="19" t="n"/>
      <c r="G293" s="19" t="n"/>
      <c r="H293" s="18">
        <f>IF(D293="","",IF(D293="No","Lost",IF(E293="Dofollow","Live","Live (nofollow)")))</f>
        <v/>
      </c>
      <c r="I293" s="19" t="n"/>
    </row>
    <row r="294">
      <c r="A294" s="19" t="n"/>
      <c r="B294" s="19" t="n"/>
      <c r="C294" s="21" t="n"/>
      <c r="D294" s="19" t="n"/>
      <c r="E294" s="19" t="n"/>
      <c r="F294" s="19" t="n"/>
      <c r="G294" s="19" t="n"/>
      <c r="H294" s="18">
        <f>IF(D294="","",IF(D294="No","Lost",IF(E294="Dofollow","Live","Live (nofollow)")))</f>
        <v/>
      </c>
      <c r="I294" s="19" t="n"/>
    </row>
    <row r="295">
      <c r="A295" s="19" t="n"/>
      <c r="B295" s="19" t="n"/>
      <c r="C295" s="21" t="n"/>
      <c r="D295" s="19" t="n"/>
      <c r="E295" s="19" t="n"/>
      <c r="F295" s="19" t="n"/>
      <c r="G295" s="19" t="n"/>
      <c r="H295" s="18">
        <f>IF(D295="","",IF(D295="No","Lost",IF(E295="Dofollow","Live","Live (nofollow)")))</f>
        <v/>
      </c>
      <c r="I295" s="19" t="n"/>
    </row>
    <row r="296">
      <c r="A296" s="19" t="n"/>
      <c r="B296" s="19" t="n"/>
      <c r="C296" s="21" t="n"/>
      <c r="D296" s="19" t="n"/>
      <c r="E296" s="19" t="n"/>
      <c r="F296" s="19" t="n"/>
      <c r="G296" s="19" t="n"/>
      <c r="H296" s="18">
        <f>IF(D296="","",IF(D296="No","Lost",IF(E296="Dofollow","Live","Live (nofollow)")))</f>
        <v/>
      </c>
      <c r="I296" s="19" t="n"/>
    </row>
    <row r="297">
      <c r="A297" s="19" t="n"/>
      <c r="B297" s="19" t="n"/>
      <c r="C297" s="21" t="n"/>
      <c r="D297" s="19" t="n"/>
      <c r="E297" s="19" t="n"/>
      <c r="F297" s="19" t="n"/>
      <c r="G297" s="19" t="n"/>
      <c r="H297" s="18">
        <f>IF(D297="","",IF(D297="No","Lost",IF(E297="Dofollow","Live","Live (nofollow)")))</f>
        <v/>
      </c>
      <c r="I297" s="19" t="n"/>
    </row>
    <row r="298">
      <c r="A298" s="19" t="n"/>
      <c r="B298" s="19" t="n"/>
      <c r="C298" s="21" t="n"/>
      <c r="D298" s="19" t="n"/>
      <c r="E298" s="19" t="n"/>
      <c r="F298" s="19" t="n"/>
      <c r="G298" s="19" t="n"/>
      <c r="H298" s="18">
        <f>IF(D298="","",IF(D298="No","Lost",IF(E298="Dofollow","Live","Live (nofollow)")))</f>
        <v/>
      </c>
      <c r="I298" s="19" t="n"/>
    </row>
    <row r="299">
      <c r="A299" s="19" t="n"/>
      <c r="B299" s="19" t="n"/>
      <c r="C299" s="21" t="n"/>
      <c r="D299" s="19" t="n"/>
      <c r="E299" s="19" t="n"/>
      <c r="F299" s="19" t="n"/>
      <c r="G299" s="19" t="n"/>
      <c r="H299" s="18">
        <f>IF(D299="","",IF(D299="No","Lost",IF(E299="Dofollow","Live","Live (nofollow)")))</f>
        <v/>
      </c>
      <c r="I299" s="19" t="n"/>
    </row>
    <row r="300">
      <c r="A300" s="19" t="n"/>
      <c r="B300" s="19" t="n"/>
      <c r="C300" s="21" t="n"/>
      <c r="D300" s="19" t="n"/>
      <c r="E300" s="19" t="n"/>
      <c r="F300" s="19" t="n"/>
      <c r="G300" s="19" t="n"/>
      <c r="H300" s="18">
        <f>IF(D300="","",IF(D300="No","Lost",IF(E300="Dofollow","Live","Live (nofollow)")))</f>
        <v/>
      </c>
      <c r="I300" s="19" t="n"/>
    </row>
    <row r="301">
      <c r="A301" s="19" t="n"/>
      <c r="B301" s="19" t="n"/>
      <c r="C301" s="21" t="n"/>
      <c r="D301" s="19" t="n"/>
      <c r="E301" s="19" t="n"/>
      <c r="F301" s="19" t="n"/>
      <c r="G301" s="19" t="n"/>
      <c r="H301" s="18">
        <f>IF(D301="","",IF(D301="No","Lost",IF(E301="Dofollow","Live","Live (nofollow)")))</f>
        <v/>
      </c>
      <c r="I301" s="19" t="n"/>
    </row>
    <row r="302">
      <c r="A302" s="19" t="n"/>
      <c r="B302" s="19" t="n"/>
      <c r="C302" s="21" t="n"/>
      <c r="D302" s="19" t="n"/>
      <c r="E302" s="19" t="n"/>
      <c r="F302" s="19" t="n"/>
      <c r="G302" s="19" t="n"/>
      <c r="H302" s="18">
        <f>IF(D302="","",IF(D302="No","Lost",IF(E302="Dofollow","Live","Live (nofollow)")))</f>
        <v/>
      </c>
      <c r="I302" s="19" t="n"/>
    </row>
    <row r="303">
      <c r="A303" s="19" t="n"/>
      <c r="B303" s="19" t="n"/>
      <c r="C303" s="21" t="n"/>
      <c r="D303" s="19" t="n"/>
      <c r="E303" s="19" t="n"/>
      <c r="F303" s="19" t="n"/>
      <c r="G303" s="19" t="n"/>
      <c r="H303" s="18">
        <f>IF(D303="","",IF(D303="No","Lost",IF(E303="Dofollow","Live","Live (nofollow)")))</f>
        <v/>
      </c>
      <c r="I303" s="19" t="n"/>
    </row>
    <row r="304">
      <c r="A304" s="19" t="n"/>
      <c r="B304" s="19" t="n"/>
      <c r="C304" s="21" t="n"/>
      <c r="D304" s="19" t="n"/>
      <c r="E304" s="19" t="n"/>
      <c r="F304" s="19" t="n"/>
      <c r="G304" s="19" t="n"/>
      <c r="H304" s="18">
        <f>IF(D304="","",IF(D304="No","Lost",IF(E304="Dofollow","Live","Live (nofollow)")))</f>
        <v/>
      </c>
      <c r="I304" s="19" t="n"/>
    </row>
    <row r="305">
      <c r="A305" s="19" t="n"/>
      <c r="B305" s="19" t="n"/>
      <c r="C305" s="21" t="n"/>
      <c r="D305" s="19" t="n"/>
      <c r="E305" s="19" t="n"/>
      <c r="F305" s="19" t="n"/>
      <c r="G305" s="19" t="n"/>
      <c r="H305" s="18">
        <f>IF(D305="","",IF(D305="No","Lost",IF(E305="Dofollow","Live","Live (nofollow)")))</f>
        <v/>
      </c>
      <c r="I305" s="19" t="n"/>
    </row>
    <row r="306">
      <c r="A306" s="19" t="n"/>
      <c r="B306" s="19" t="n"/>
      <c r="C306" s="21" t="n"/>
      <c r="D306" s="19" t="n"/>
      <c r="E306" s="19" t="n"/>
      <c r="F306" s="19" t="n"/>
      <c r="G306" s="19" t="n"/>
      <c r="H306" s="18">
        <f>IF(D306="","",IF(D306="No","Lost",IF(E306="Dofollow","Live","Live (nofollow)")))</f>
        <v/>
      </c>
      <c r="I306" s="19" t="n"/>
    </row>
    <row r="307">
      <c r="A307" s="19" t="n"/>
      <c r="B307" s="19" t="n"/>
      <c r="C307" s="21" t="n"/>
      <c r="D307" s="19" t="n"/>
      <c r="E307" s="19" t="n"/>
      <c r="F307" s="19" t="n"/>
      <c r="G307" s="19" t="n"/>
      <c r="H307" s="18">
        <f>IF(D307="","",IF(D307="No","Lost",IF(E307="Dofollow","Live","Live (nofollow)")))</f>
        <v/>
      </c>
      <c r="I307" s="19" t="n"/>
    </row>
    <row r="308">
      <c r="A308" s="19" t="n"/>
      <c r="B308" s="19" t="n"/>
      <c r="C308" s="21" t="n"/>
      <c r="D308" s="19" t="n"/>
      <c r="E308" s="19" t="n"/>
      <c r="F308" s="19" t="n"/>
      <c r="G308" s="19" t="n"/>
      <c r="H308" s="18">
        <f>IF(D308="","",IF(D308="No","Lost",IF(E308="Dofollow","Live","Live (nofollow)")))</f>
        <v/>
      </c>
      <c r="I308" s="19" t="n"/>
    </row>
    <row r="309">
      <c r="A309" s="19" t="n"/>
      <c r="B309" s="19" t="n"/>
      <c r="C309" s="21" t="n"/>
      <c r="D309" s="19" t="n"/>
      <c r="E309" s="19" t="n"/>
      <c r="F309" s="19" t="n"/>
      <c r="G309" s="19" t="n"/>
      <c r="H309" s="18">
        <f>IF(D309="","",IF(D309="No","Lost",IF(E309="Dofollow","Live","Live (nofollow)")))</f>
        <v/>
      </c>
      <c r="I309" s="19" t="n"/>
    </row>
    <row r="310">
      <c r="A310" s="19" t="n"/>
      <c r="B310" s="19" t="n"/>
      <c r="C310" s="21" t="n"/>
      <c r="D310" s="19" t="n"/>
      <c r="E310" s="19" t="n"/>
      <c r="F310" s="19" t="n"/>
      <c r="G310" s="19" t="n"/>
      <c r="H310" s="18">
        <f>IF(D310="","",IF(D310="No","Lost",IF(E310="Dofollow","Live","Live (nofollow)")))</f>
        <v/>
      </c>
      <c r="I310" s="19" t="n"/>
    </row>
    <row r="311">
      <c r="A311" s="19" t="n"/>
      <c r="B311" s="19" t="n"/>
      <c r="C311" s="21" t="n"/>
      <c r="D311" s="19" t="n"/>
      <c r="E311" s="19" t="n"/>
      <c r="F311" s="19" t="n"/>
      <c r="G311" s="19" t="n"/>
      <c r="H311" s="18">
        <f>IF(D311="","",IF(D311="No","Lost",IF(E311="Dofollow","Live","Live (nofollow)")))</f>
        <v/>
      </c>
      <c r="I311" s="19" t="n"/>
    </row>
    <row r="312">
      <c r="A312" s="19" t="n"/>
      <c r="B312" s="19" t="n"/>
      <c r="C312" s="21" t="n"/>
      <c r="D312" s="19" t="n"/>
      <c r="E312" s="19" t="n"/>
      <c r="F312" s="19" t="n"/>
      <c r="G312" s="19" t="n"/>
      <c r="H312" s="18">
        <f>IF(D312="","",IF(D312="No","Lost",IF(E312="Dofollow","Live","Live (nofollow)")))</f>
        <v/>
      </c>
      <c r="I312" s="19" t="n"/>
    </row>
    <row r="313">
      <c r="A313" s="19" t="n"/>
      <c r="B313" s="19" t="n"/>
      <c r="C313" s="21" t="n"/>
      <c r="D313" s="19" t="n"/>
      <c r="E313" s="19" t="n"/>
      <c r="F313" s="19" t="n"/>
      <c r="G313" s="19" t="n"/>
      <c r="H313" s="18">
        <f>IF(D313="","",IF(D313="No","Lost",IF(E313="Dofollow","Live","Live (nofollow)")))</f>
        <v/>
      </c>
      <c r="I313" s="19" t="n"/>
    </row>
    <row r="314">
      <c r="A314" s="19" t="n"/>
      <c r="B314" s="19" t="n"/>
      <c r="C314" s="21" t="n"/>
      <c r="D314" s="19" t="n"/>
      <c r="E314" s="19" t="n"/>
      <c r="F314" s="19" t="n"/>
      <c r="G314" s="19" t="n"/>
      <c r="H314" s="18">
        <f>IF(D314="","",IF(D314="No","Lost",IF(E314="Dofollow","Live","Live (nofollow)")))</f>
        <v/>
      </c>
      <c r="I314" s="19" t="n"/>
    </row>
    <row r="315">
      <c r="A315" s="19" t="n"/>
      <c r="B315" s="19" t="n"/>
      <c r="C315" s="21" t="n"/>
      <c r="D315" s="19" t="n"/>
      <c r="E315" s="19" t="n"/>
      <c r="F315" s="19" t="n"/>
      <c r="G315" s="19" t="n"/>
      <c r="H315" s="18">
        <f>IF(D315="","",IF(D315="No","Lost",IF(E315="Dofollow","Live","Live (nofollow)")))</f>
        <v/>
      </c>
      <c r="I315" s="19" t="n"/>
    </row>
    <row r="316">
      <c r="A316" s="19" t="n"/>
      <c r="B316" s="19" t="n"/>
      <c r="C316" s="21" t="n"/>
      <c r="D316" s="19" t="n"/>
      <c r="E316" s="19" t="n"/>
      <c r="F316" s="19" t="n"/>
      <c r="G316" s="19" t="n"/>
      <c r="H316" s="18">
        <f>IF(D316="","",IF(D316="No","Lost",IF(E316="Dofollow","Live","Live (nofollow)")))</f>
        <v/>
      </c>
      <c r="I316" s="19" t="n"/>
    </row>
    <row r="317">
      <c r="A317" s="19" t="n"/>
      <c r="B317" s="19" t="n"/>
      <c r="C317" s="21" t="n"/>
      <c r="D317" s="19" t="n"/>
      <c r="E317" s="19" t="n"/>
      <c r="F317" s="19" t="n"/>
      <c r="G317" s="19" t="n"/>
      <c r="H317" s="18">
        <f>IF(D317="","",IF(D317="No","Lost",IF(E317="Dofollow","Live","Live (nofollow)")))</f>
        <v/>
      </c>
      <c r="I317" s="19" t="n"/>
    </row>
    <row r="318">
      <c r="A318" s="19" t="n"/>
      <c r="B318" s="19" t="n"/>
      <c r="C318" s="21" t="n"/>
      <c r="D318" s="19" t="n"/>
      <c r="E318" s="19" t="n"/>
      <c r="F318" s="19" t="n"/>
      <c r="G318" s="19" t="n"/>
      <c r="H318" s="18">
        <f>IF(D318="","",IF(D318="No","Lost",IF(E318="Dofollow","Live","Live (nofollow)")))</f>
        <v/>
      </c>
      <c r="I318" s="19" t="n"/>
    </row>
    <row r="319">
      <c r="A319" s="19" t="n"/>
      <c r="B319" s="19" t="n"/>
      <c r="C319" s="21" t="n"/>
      <c r="D319" s="19" t="n"/>
      <c r="E319" s="19" t="n"/>
      <c r="F319" s="19" t="n"/>
      <c r="G319" s="19" t="n"/>
      <c r="H319" s="18">
        <f>IF(D319="","",IF(D319="No","Lost",IF(E319="Dofollow","Live","Live (nofollow)")))</f>
        <v/>
      </c>
      <c r="I319" s="19" t="n"/>
    </row>
    <row r="320">
      <c r="A320" s="19" t="n"/>
      <c r="B320" s="19" t="n"/>
      <c r="C320" s="21" t="n"/>
      <c r="D320" s="19" t="n"/>
      <c r="E320" s="19" t="n"/>
      <c r="F320" s="19" t="n"/>
      <c r="G320" s="19" t="n"/>
      <c r="H320" s="18">
        <f>IF(D320="","",IF(D320="No","Lost",IF(E320="Dofollow","Live","Live (nofollow)")))</f>
        <v/>
      </c>
      <c r="I320" s="19" t="n"/>
    </row>
    <row r="321">
      <c r="A321" s="19" t="n"/>
      <c r="B321" s="19" t="n"/>
      <c r="C321" s="21" t="n"/>
      <c r="D321" s="19" t="n"/>
      <c r="E321" s="19" t="n"/>
      <c r="F321" s="19" t="n"/>
      <c r="G321" s="19" t="n"/>
      <c r="H321" s="18">
        <f>IF(D321="","",IF(D321="No","Lost",IF(E321="Dofollow","Live","Live (nofollow)")))</f>
        <v/>
      </c>
      <c r="I321" s="19" t="n"/>
    </row>
    <row r="322">
      <c r="A322" s="19" t="n"/>
      <c r="B322" s="19" t="n"/>
      <c r="C322" s="21" t="n"/>
      <c r="D322" s="19" t="n"/>
      <c r="E322" s="19" t="n"/>
      <c r="F322" s="19" t="n"/>
      <c r="G322" s="19" t="n"/>
      <c r="H322" s="18">
        <f>IF(D322="","",IF(D322="No","Lost",IF(E322="Dofollow","Live","Live (nofollow)")))</f>
        <v/>
      </c>
      <c r="I322" s="19" t="n"/>
    </row>
    <row r="323">
      <c r="A323" s="19" t="n"/>
      <c r="B323" s="19" t="n"/>
      <c r="C323" s="21" t="n"/>
      <c r="D323" s="19" t="n"/>
      <c r="E323" s="19" t="n"/>
      <c r="F323" s="19" t="n"/>
      <c r="G323" s="19" t="n"/>
      <c r="H323" s="18">
        <f>IF(D323="","",IF(D323="No","Lost",IF(E323="Dofollow","Live","Live (nofollow)")))</f>
        <v/>
      </c>
      <c r="I323" s="19" t="n"/>
    </row>
    <row r="324">
      <c r="A324" s="19" t="n"/>
      <c r="B324" s="19" t="n"/>
      <c r="C324" s="21" t="n"/>
      <c r="D324" s="19" t="n"/>
      <c r="E324" s="19" t="n"/>
      <c r="F324" s="19" t="n"/>
      <c r="G324" s="19" t="n"/>
      <c r="H324" s="18">
        <f>IF(D324="","",IF(D324="No","Lost",IF(E324="Dofollow","Live","Live (nofollow)")))</f>
        <v/>
      </c>
      <c r="I324" s="19" t="n"/>
    </row>
    <row r="325">
      <c r="A325" s="19" t="n"/>
      <c r="B325" s="19" t="n"/>
      <c r="C325" s="21" t="n"/>
      <c r="D325" s="19" t="n"/>
      <c r="E325" s="19" t="n"/>
      <c r="F325" s="19" t="n"/>
      <c r="G325" s="19" t="n"/>
      <c r="H325" s="18">
        <f>IF(D325="","",IF(D325="No","Lost",IF(E325="Dofollow","Live","Live (nofollow)")))</f>
        <v/>
      </c>
      <c r="I325" s="19" t="n"/>
    </row>
    <row r="326">
      <c r="A326" s="19" t="n"/>
      <c r="B326" s="19" t="n"/>
      <c r="C326" s="21" t="n"/>
      <c r="D326" s="19" t="n"/>
      <c r="E326" s="19" t="n"/>
      <c r="F326" s="19" t="n"/>
      <c r="G326" s="19" t="n"/>
      <c r="H326" s="18">
        <f>IF(D326="","",IF(D326="No","Lost",IF(E326="Dofollow","Live","Live (nofollow)")))</f>
        <v/>
      </c>
      <c r="I326" s="19" t="n"/>
    </row>
    <row r="327">
      <c r="A327" s="19" t="n"/>
      <c r="B327" s="19" t="n"/>
      <c r="C327" s="21" t="n"/>
      <c r="D327" s="19" t="n"/>
      <c r="E327" s="19" t="n"/>
      <c r="F327" s="19" t="n"/>
      <c r="G327" s="19" t="n"/>
      <c r="H327" s="18">
        <f>IF(D327="","",IF(D327="No","Lost",IF(E327="Dofollow","Live","Live (nofollow)")))</f>
        <v/>
      </c>
      <c r="I327" s="19" t="n"/>
    </row>
    <row r="328">
      <c r="A328" s="19" t="n"/>
      <c r="B328" s="19" t="n"/>
      <c r="C328" s="21" t="n"/>
      <c r="D328" s="19" t="n"/>
      <c r="E328" s="19" t="n"/>
      <c r="F328" s="19" t="n"/>
      <c r="G328" s="19" t="n"/>
      <c r="H328" s="18">
        <f>IF(D328="","",IF(D328="No","Lost",IF(E328="Dofollow","Live","Live (nofollow)")))</f>
        <v/>
      </c>
      <c r="I328" s="19" t="n"/>
    </row>
    <row r="329">
      <c r="A329" s="19" t="n"/>
      <c r="B329" s="19" t="n"/>
      <c r="C329" s="21" t="n"/>
      <c r="D329" s="19" t="n"/>
      <c r="E329" s="19" t="n"/>
      <c r="F329" s="19" t="n"/>
      <c r="G329" s="19" t="n"/>
      <c r="H329" s="18">
        <f>IF(D329="","",IF(D329="No","Lost",IF(E329="Dofollow","Live","Live (nofollow)")))</f>
        <v/>
      </c>
      <c r="I329" s="19" t="n"/>
    </row>
    <row r="330">
      <c r="A330" s="19" t="n"/>
      <c r="B330" s="19" t="n"/>
      <c r="C330" s="21" t="n"/>
      <c r="D330" s="19" t="n"/>
      <c r="E330" s="19" t="n"/>
      <c r="F330" s="19" t="n"/>
      <c r="G330" s="19" t="n"/>
      <c r="H330" s="18">
        <f>IF(D330="","",IF(D330="No","Lost",IF(E330="Dofollow","Live","Live (nofollow)")))</f>
        <v/>
      </c>
      <c r="I330" s="19" t="n"/>
    </row>
    <row r="331">
      <c r="A331" s="19" t="n"/>
      <c r="B331" s="19" t="n"/>
      <c r="C331" s="21" t="n"/>
      <c r="D331" s="19" t="n"/>
      <c r="E331" s="19" t="n"/>
      <c r="F331" s="19" t="n"/>
      <c r="G331" s="19" t="n"/>
      <c r="H331" s="18">
        <f>IF(D331="","",IF(D331="No","Lost",IF(E331="Dofollow","Live","Live (nofollow)")))</f>
        <v/>
      </c>
      <c r="I331" s="19" t="n"/>
    </row>
    <row r="332">
      <c r="A332" s="19" t="n"/>
      <c r="B332" s="19" t="n"/>
      <c r="C332" s="21" t="n"/>
      <c r="D332" s="19" t="n"/>
      <c r="E332" s="19" t="n"/>
      <c r="F332" s="19" t="n"/>
      <c r="G332" s="19" t="n"/>
      <c r="H332" s="18">
        <f>IF(D332="","",IF(D332="No","Lost",IF(E332="Dofollow","Live","Live (nofollow)")))</f>
        <v/>
      </c>
      <c r="I332" s="19" t="n"/>
    </row>
    <row r="333">
      <c r="A333" s="19" t="n"/>
      <c r="B333" s="19" t="n"/>
      <c r="C333" s="21" t="n"/>
      <c r="D333" s="19" t="n"/>
      <c r="E333" s="19" t="n"/>
      <c r="F333" s="19" t="n"/>
      <c r="G333" s="19" t="n"/>
      <c r="H333" s="18">
        <f>IF(D333="","",IF(D333="No","Lost",IF(E333="Dofollow","Live","Live (nofollow)")))</f>
        <v/>
      </c>
      <c r="I333" s="19" t="n"/>
    </row>
    <row r="334">
      <c r="A334" s="19" t="n"/>
      <c r="B334" s="19" t="n"/>
      <c r="C334" s="21" t="n"/>
      <c r="D334" s="19" t="n"/>
      <c r="E334" s="19" t="n"/>
      <c r="F334" s="19" t="n"/>
      <c r="G334" s="19" t="n"/>
      <c r="H334" s="18">
        <f>IF(D334="","",IF(D334="No","Lost",IF(E334="Dofollow","Live","Live (nofollow)")))</f>
        <v/>
      </c>
      <c r="I334" s="19" t="n"/>
    </row>
    <row r="335">
      <c r="A335" s="19" t="n"/>
      <c r="B335" s="19" t="n"/>
      <c r="C335" s="21" t="n"/>
      <c r="D335" s="19" t="n"/>
      <c r="E335" s="19" t="n"/>
      <c r="F335" s="19" t="n"/>
      <c r="G335" s="19" t="n"/>
      <c r="H335" s="18">
        <f>IF(D335="","",IF(D335="No","Lost",IF(E335="Dofollow","Live","Live (nofollow)")))</f>
        <v/>
      </c>
      <c r="I335" s="19" t="n"/>
    </row>
    <row r="336">
      <c r="A336" s="19" t="n"/>
      <c r="B336" s="19" t="n"/>
      <c r="C336" s="21" t="n"/>
      <c r="D336" s="19" t="n"/>
      <c r="E336" s="19" t="n"/>
      <c r="F336" s="19" t="n"/>
      <c r="G336" s="19" t="n"/>
      <c r="H336" s="18">
        <f>IF(D336="","",IF(D336="No","Lost",IF(E336="Dofollow","Live","Live (nofollow)")))</f>
        <v/>
      </c>
      <c r="I336" s="19" t="n"/>
    </row>
    <row r="337">
      <c r="A337" s="19" t="n"/>
      <c r="B337" s="19" t="n"/>
      <c r="C337" s="21" t="n"/>
      <c r="D337" s="19" t="n"/>
      <c r="E337" s="19" t="n"/>
      <c r="F337" s="19" t="n"/>
      <c r="G337" s="19" t="n"/>
      <c r="H337" s="18">
        <f>IF(D337="","",IF(D337="No","Lost",IF(E337="Dofollow","Live","Live (nofollow)")))</f>
        <v/>
      </c>
      <c r="I337" s="19" t="n"/>
    </row>
    <row r="338">
      <c r="A338" s="19" t="n"/>
      <c r="B338" s="19" t="n"/>
      <c r="C338" s="21" t="n"/>
      <c r="D338" s="19" t="n"/>
      <c r="E338" s="19" t="n"/>
      <c r="F338" s="19" t="n"/>
      <c r="G338" s="19" t="n"/>
      <c r="H338" s="18">
        <f>IF(D338="","",IF(D338="No","Lost",IF(E338="Dofollow","Live","Live (nofollow)")))</f>
        <v/>
      </c>
      <c r="I338" s="19" t="n"/>
    </row>
    <row r="339">
      <c r="A339" s="19" t="n"/>
      <c r="B339" s="19" t="n"/>
      <c r="C339" s="21" t="n"/>
      <c r="D339" s="19" t="n"/>
      <c r="E339" s="19" t="n"/>
      <c r="F339" s="19" t="n"/>
      <c r="G339" s="19" t="n"/>
      <c r="H339" s="18">
        <f>IF(D339="","",IF(D339="No","Lost",IF(E339="Dofollow","Live","Live (nofollow)")))</f>
        <v/>
      </c>
      <c r="I339" s="19" t="n"/>
    </row>
    <row r="340">
      <c r="A340" s="19" t="n"/>
      <c r="B340" s="19" t="n"/>
      <c r="C340" s="21" t="n"/>
      <c r="D340" s="19" t="n"/>
      <c r="E340" s="19" t="n"/>
      <c r="F340" s="19" t="n"/>
      <c r="G340" s="19" t="n"/>
      <c r="H340" s="18">
        <f>IF(D340="","",IF(D340="No","Lost",IF(E340="Dofollow","Live","Live (nofollow)")))</f>
        <v/>
      </c>
      <c r="I340" s="19" t="n"/>
    </row>
    <row r="341">
      <c r="A341" s="19" t="n"/>
      <c r="B341" s="19" t="n"/>
      <c r="C341" s="21" t="n"/>
      <c r="D341" s="19" t="n"/>
      <c r="E341" s="19" t="n"/>
      <c r="F341" s="19" t="n"/>
      <c r="G341" s="19" t="n"/>
      <c r="H341" s="18">
        <f>IF(D341="","",IF(D341="No","Lost",IF(E341="Dofollow","Live","Live (nofollow)")))</f>
        <v/>
      </c>
      <c r="I341" s="19" t="n"/>
    </row>
    <row r="342">
      <c r="A342" s="19" t="n"/>
      <c r="B342" s="19" t="n"/>
      <c r="C342" s="21" t="n"/>
      <c r="D342" s="19" t="n"/>
      <c r="E342" s="19" t="n"/>
      <c r="F342" s="19" t="n"/>
      <c r="G342" s="19" t="n"/>
      <c r="H342" s="18">
        <f>IF(D342="","",IF(D342="No","Lost",IF(E342="Dofollow","Live","Live (nofollow)")))</f>
        <v/>
      </c>
      <c r="I342" s="19" t="n"/>
    </row>
    <row r="343">
      <c r="A343" s="19" t="n"/>
      <c r="B343" s="19" t="n"/>
      <c r="C343" s="21" t="n"/>
      <c r="D343" s="19" t="n"/>
      <c r="E343" s="19" t="n"/>
      <c r="F343" s="19" t="n"/>
      <c r="G343" s="19" t="n"/>
      <c r="H343" s="18">
        <f>IF(D343="","",IF(D343="No","Lost",IF(E343="Dofollow","Live","Live (nofollow)")))</f>
        <v/>
      </c>
      <c r="I343" s="19" t="n"/>
    </row>
    <row r="344">
      <c r="A344" s="19" t="n"/>
      <c r="B344" s="19" t="n"/>
      <c r="C344" s="21" t="n"/>
      <c r="D344" s="19" t="n"/>
      <c r="E344" s="19" t="n"/>
      <c r="F344" s="19" t="n"/>
      <c r="G344" s="19" t="n"/>
      <c r="H344" s="18">
        <f>IF(D344="","",IF(D344="No","Lost",IF(E344="Dofollow","Live","Live (nofollow)")))</f>
        <v/>
      </c>
      <c r="I344" s="19" t="n"/>
    </row>
    <row r="345">
      <c r="A345" s="19" t="n"/>
      <c r="B345" s="19" t="n"/>
      <c r="C345" s="21" t="n"/>
      <c r="D345" s="19" t="n"/>
      <c r="E345" s="19" t="n"/>
      <c r="F345" s="19" t="n"/>
      <c r="G345" s="19" t="n"/>
      <c r="H345" s="18">
        <f>IF(D345="","",IF(D345="No","Lost",IF(E345="Dofollow","Live","Live (nofollow)")))</f>
        <v/>
      </c>
      <c r="I345" s="19" t="n"/>
    </row>
    <row r="346">
      <c r="A346" s="19" t="n"/>
      <c r="B346" s="19" t="n"/>
      <c r="C346" s="21" t="n"/>
      <c r="D346" s="19" t="n"/>
      <c r="E346" s="19" t="n"/>
      <c r="F346" s="19" t="n"/>
      <c r="G346" s="19" t="n"/>
      <c r="H346" s="18">
        <f>IF(D346="","",IF(D346="No","Lost",IF(E346="Dofollow","Live","Live (nofollow)")))</f>
        <v/>
      </c>
      <c r="I346" s="19" t="n"/>
    </row>
    <row r="347">
      <c r="A347" s="19" t="n"/>
      <c r="B347" s="19" t="n"/>
      <c r="C347" s="21" t="n"/>
      <c r="D347" s="19" t="n"/>
      <c r="E347" s="19" t="n"/>
      <c r="F347" s="19" t="n"/>
      <c r="G347" s="19" t="n"/>
      <c r="H347" s="18">
        <f>IF(D347="","",IF(D347="No","Lost",IF(E347="Dofollow","Live","Live (nofollow)")))</f>
        <v/>
      </c>
      <c r="I347" s="19" t="n"/>
    </row>
    <row r="348">
      <c r="A348" s="19" t="n"/>
      <c r="B348" s="19" t="n"/>
      <c r="C348" s="21" t="n"/>
      <c r="D348" s="19" t="n"/>
      <c r="E348" s="19" t="n"/>
      <c r="F348" s="19" t="n"/>
      <c r="G348" s="19" t="n"/>
      <c r="H348" s="18">
        <f>IF(D348="","",IF(D348="No","Lost",IF(E348="Dofollow","Live","Live (nofollow)")))</f>
        <v/>
      </c>
      <c r="I348" s="19" t="n"/>
    </row>
    <row r="349">
      <c r="A349" s="19" t="n"/>
      <c r="B349" s="19" t="n"/>
      <c r="C349" s="21" t="n"/>
      <c r="D349" s="19" t="n"/>
      <c r="E349" s="19" t="n"/>
      <c r="F349" s="19" t="n"/>
      <c r="G349" s="19" t="n"/>
      <c r="H349" s="18">
        <f>IF(D349="","",IF(D349="No","Lost",IF(E349="Dofollow","Live","Live (nofollow)")))</f>
        <v/>
      </c>
      <c r="I349" s="19" t="n"/>
    </row>
    <row r="350">
      <c r="A350" s="19" t="n"/>
      <c r="B350" s="19" t="n"/>
      <c r="C350" s="21" t="n"/>
      <c r="D350" s="19" t="n"/>
      <c r="E350" s="19" t="n"/>
      <c r="F350" s="19" t="n"/>
      <c r="G350" s="19" t="n"/>
      <c r="H350" s="18">
        <f>IF(D350="","",IF(D350="No","Lost",IF(E350="Dofollow","Live","Live (nofollow)")))</f>
        <v/>
      </c>
      <c r="I350" s="19" t="n"/>
    </row>
    <row r="351">
      <c r="A351" s="19" t="n"/>
      <c r="B351" s="19" t="n"/>
      <c r="C351" s="21" t="n"/>
      <c r="D351" s="19" t="n"/>
      <c r="E351" s="19" t="n"/>
      <c r="F351" s="19" t="n"/>
      <c r="G351" s="19" t="n"/>
      <c r="H351" s="18">
        <f>IF(D351="","",IF(D351="No","Lost",IF(E351="Dofollow","Live","Live (nofollow)")))</f>
        <v/>
      </c>
      <c r="I351" s="19" t="n"/>
    </row>
    <row r="352">
      <c r="A352" s="19" t="n"/>
      <c r="B352" s="19" t="n"/>
      <c r="C352" s="21" t="n"/>
      <c r="D352" s="19" t="n"/>
      <c r="E352" s="19" t="n"/>
      <c r="F352" s="19" t="n"/>
      <c r="G352" s="19" t="n"/>
      <c r="H352" s="18">
        <f>IF(D352="","",IF(D352="No","Lost",IF(E352="Dofollow","Live","Live (nofollow)")))</f>
        <v/>
      </c>
      <c r="I352" s="19" t="n"/>
    </row>
    <row r="353">
      <c r="A353" s="19" t="n"/>
      <c r="B353" s="19" t="n"/>
      <c r="C353" s="21" t="n"/>
      <c r="D353" s="19" t="n"/>
      <c r="E353" s="19" t="n"/>
      <c r="F353" s="19" t="n"/>
      <c r="G353" s="19" t="n"/>
      <c r="H353" s="18">
        <f>IF(D353="","",IF(D353="No","Lost",IF(E353="Dofollow","Live","Live (nofollow)")))</f>
        <v/>
      </c>
      <c r="I353" s="19" t="n"/>
    </row>
    <row r="354">
      <c r="A354" s="19" t="n"/>
      <c r="B354" s="19" t="n"/>
      <c r="C354" s="21" t="n"/>
      <c r="D354" s="19" t="n"/>
      <c r="E354" s="19" t="n"/>
      <c r="F354" s="19" t="n"/>
      <c r="G354" s="19" t="n"/>
      <c r="H354" s="18">
        <f>IF(D354="","",IF(D354="No","Lost",IF(E354="Dofollow","Live","Live (nofollow)")))</f>
        <v/>
      </c>
      <c r="I354" s="19" t="n"/>
    </row>
    <row r="355">
      <c r="A355" s="19" t="n"/>
      <c r="B355" s="19" t="n"/>
      <c r="C355" s="21" t="n"/>
      <c r="D355" s="19" t="n"/>
      <c r="E355" s="19" t="n"/>
      <c r="F355" s="19" t="n"/>
      <c r="G355" s="19" t="n"/>
      <c r="H355" s="18">
        <f>IF(D355="","",IF(D355="No","Lost",IF(E355="Dofollow","Live","Live (nofollow)")))</f>
        <v/>
      </c>
      <c r="I355" s="19" t="n"/>
    </row>
    <row r="356">
      <c r="A356" s="19" t="n"/>
      <c r="B356" s="19" t="n"/>
      <c r="C356" s="21" t="n"/>
      <c r="D356" s="19" t="n"/>
      <c r="E356" s="19" t="n"/>
      <c r="F356" s="19" t="n"/>
      <c r="G356" s="19" t="n"/>
      <c r="H356" s="18">
        <f>IF(D356="","",IF(D356="No","Lost",IF(E356="Dofollow","Live","Live (nofollow)")))</f>
        <v/>
      </c>
      <c r="I356" s="19" t="n"/>
    </row>
    <row r="357">
      <c r="A357" s="19" t="n"/>
      <c r="B357" s="19" t="n"/>
      <c r="C357" s="21" t="n"/>
      <c r="D357" s="19" t="n"/>
      <c r="E357" s="19" t="n"/>
      <c r="F357" s="19" t="n"/>
      <c r="G357" s="19" t="n"/>
      <c r="H357" s="18">
        <f>IF(D357="","",IF(D357="No","Lost",IF(E357="Dofollow","Live","Live (nofollow)")))</f>
        <v/>
      </c>
      <c r="I357" s="19" t="n"/>
    </row>
    <row r="358">
      <c r="A358" s="19" t="n"/>
      <c r="B358" s="19" t="n"/>
      <c r="C358" s="21" t="n"/>
      <c r="D358" s="19" t="n"/>
      <c r="E358" s="19" t="n"/>
      <c r="F358" s="19" t="n"/>
      <c r="G358" s="19" t="n"/>
      <c r="H358" s="18">
        <f>IF(D358="","",IF(D358="No","Lost",IF(E358="Dofollow","Live","Live (nofollow)")))</f>
        <v/>
      </c>
      <c r="I358" s="19" t="n"/>
    </row>
    <row r="359">
      <c r="A359" s="19" t="n"/>
      <c r="B359" s="19" t="n"/>
      <c r="C359" s="21" t="n"/>
      <c r="D359" s="19" t="n"/>
      <c r="E359" s="19" t="n"/>
      <c r="F359" s="19" t="n"/>
      <c r="G359" s="19" t="n"/>
      <c r="H359" s="18">
        <f>IF(D359="","",IF(D359="No","Lost",IF(E359="Dofollow","Live","Live (nofollow)")))</f>
        <v/>
      </c>
      <c r="I359" s="19" t="n"/>
    </row>
    <row r="360">
      <c r="A360" s="19" t="n"/>
      <c r="B360" s="19" t="n"/>
      <c r="C360" s="21" t="n"/>
      <c r="D360" s="19" t="n"/>
      <c r="E360" s="19" t="n"/>
      <c r="F360" s="19" t="n"/>
      <c r="G360" s="19" t="n"/>
      <c r="H360" s="18">
        <f>IF(D360="","",IF(D360="No","Lost",IF(E360="Dofollow","Live","Live (nofollow)")))</f>
        <v/>
      </c>
      <c r="I360" s="19" t="n"/>
    </row>
    <row r="361">
      <c r="A361" s="19" t="n"/>
      <c r="B361" s="19" t="n"/>
      <c r="C361" s="21" t="n"/>
      <c r="D361" s="19" t="n"/>
      <c r="E361" s="19" t="n"/>
      <c r="F361" s="19" t="n"/>
      <c r="G361" s="19" t="n"/>
      <c r="H361" s="18">
        <f>IF(D361="","",IF(D361="No","Lost",IF(E361="Dofollow","Live","Live (nofollow)")))</f>
        <v/>
      </c>
      <c r="I361" s="19" t="n"/>
    </row>
    <row r="362">
      <c r="A362" s="19" t="n"/>
      <c r="B362" s="19" t="n"/>
      <c r="C362" s="21" t="n"/>
      <c r="D362" s="19" t="n"/>
      <c r="E362" s="19" t="n"/>
      <c r="F362" s="19" t="n"/>
      <c r="G362" s="19" t="n"/>
      <c r="H362" s="18">
        <f>IF(D362="","",IF(D362="No","Lost",IF(E362="Dofollow","Live","Live (nofollow)")))</f>
        <v/>
      </c>
      <c r="I362" s="19" t="n"/>
    </row>
    <row r="363">
      <c r="A363" s="19" t="n"/>
      <c r="B363" s="19" t="n"/>
      <c r="C363" s="21" t="n"/>
      <c r="D363" s="19" t="n"/>
      <c r="E363" s="19" t="n"/>
      <c r="F363" s="19" t="n"/>
      <c r="G363" s="19" t="n"/>
      <c r="H363" s="18">
        <f>IF(D363="","",IF(D363="No","Lost",IF(E363="Dofollow","Live","Live (nofollow)")))</f>
        <v/>
      </c>
      <c r="I363" s="19" t="n"/>
    </row>
    <row r="364">
      <c r="A364" s="19" t="n"/>
      <c r="B364" s="19" t="n"/>
      <c r="C364" s="21" t="n"/>
      <c r="D364" s="19" t="n"/>
      <c r="E364" s="19" t="n"/>
      <c r="F364" s="19" t="n"/>
      <c r="G364" s="19" t="n"/>
      <c r="H364" s="18">
        <f>IF(D364="","",IF(D364="No","Lost",IF(E364="Dofollow","Live","Live (nofollow)")))</f>
        <v/>
      </c>
      <c r="I364" s="19" t="n"/>
    </row>
    <row r="365">
      <c r="A365" s="19" t="n"/>
      <c r="B365" s="19" t="n"/>
      <c r="C365" s="21" t="n"/>
      <c r="D365" s="19" t="n"/>
      <c r="E365" s="19" t="n"/>
      <c r="F365" s="19" t="n"/>
      <c r="G365" s="19" t="n"/>
      <c r="H365" s="18">
        <f>IF(D365="","",IF(D365="No","Lost",IF(E365="Dofollow","Live","Live (nofollow)")))</f>
        <v/>
      </c>
      <c r="I365" s="19" t="n"/>
    </row>
    <row r="366">
      <c r="A366" s="19" t="n"/>
      <c r="B366" s="19" t="n"/>
      <c r="C366" s="21" t="n"/>
      <c r="D366" s="19" t="n"/>
      <c r="E366" s="19" t="n"/>
      <c r="F366" s="19" t="n"/>
      <c r="G366" s="19" t="n"/>
      <c r="H366" s="18">
        <f>IF(D366="","",IF(D366="No","Lost",IF(E366="Dofollow","Live","Live (nofollow)")))</f>
        <v/>
      </c>
      <c r="I366" s="19" t="n"/>
    </row>
    <row r="367">
      <c r="A367" s="19" t="n"/>
      <c r="B367" s="19" t="n"/>
      <c r="C367" s="21" t="n"/>
      <c r="D367" s="19" t="n"/>
      <c r="E367" s="19" t="n"/>
      <c r="F367" s="19" t="n"/>
      <c r="G367" s="19" t="n"/>
      <c r="H367" s="18">
        <f>IF(D367="","",IF(D367="No","Lost",IF(E367="Dofollow","Live","Live (nofollow)")))</f>
        <v/>
      </c>
      <c r="I367" s="19" t="n"/>
    </row>
    <row r="368">
      <c r="A368" s="19" t="n"/>
      <c r="B368" s="19" t="n"/>
      <c r="C368" s="21" t="n"/>
      <c r="D368" s="19" t="n"/>
      <c r="E368" s="19" t="n"/>
      <c r="F368" s="19" t="n"/>
      <c r="G368" s="19" t="n"/>
      <c r="H368" s="18">
        <f>IF(D368="","",IF(D368="No","Lost",IF(E368="Dofollow","Live","Live (nofollow)")))</f>
        <v/>
      </c>
      <c r="I368" s="19" t="n"/>
    </row>
    <row r="369">
      <c r="A369" s="19" t="n"/>
      <c r="B369" s="19" t="n"/>
      <c r="C369" s="21" t="n"/>
      <c r="D369" s="19" t="n"/>
      <c r="E369" s="19" t="n"/>
      <c r="F369" s="19" t="n"/>
      <c r="G369" s="19" t="n"/>
      <c r="H369" s="18">
        <f>IF(D369="","",IF(D369="No","Lost",IF(E369="Dofollow","Live","Live (nofollow)")))</f>
        <v/>
      </c>
      <c r="I369" s="19" t="n"/>
    </row>
    <row r="370">
      <c r="A370" s="19" t="n"/>
      <c r="B370" s="19" t="n"/>
      <c r="C370" s="21" t="n"/>
      <c r="D370" s="19" t="n"/>
      <c r="E370" s="19" t="n"/>
      <c r="F370" s="19" t="n"/>
      <c r="G370" s="19" t="n"/>
      <c r="H370" s="18">
        <f>IF(D370="","",IF(D370="No","Lost",IF(E370="Dofollow","Live","Live (nofollow)")))</f>
        <v/>
      </c>
      <c r="I370" s="19" t="n"/>
    </row>
    <row r="371">
      <c r="A371" s="19" t="n"/>
      <c r="B371" s="19" t="n"/>
      <c r="C371" s="21" t="n"/>
      <c r="D371" s="19" t="n"/>
      <c r="E371" s="19" t="n"/>
      <c r="F371" s="19" t="n"/>
      <c r="G371" s="19" t="n"/>
      <c r="H371" s="18">
        <f>IF(D371="","",IF(D371="No","Lost",IF(E371="Dofollow","Live","Live (nofollow)")))</f>
        <v/>
      </c>
      <c r="I371" s="19" t="n"/>
    </row>
    <row r="372">
      <c r="A372" s="19" t="n"/>
      <c r="B372" s="19" t="n"/>
      <c r="C372" s="21" t="n"/>
      <c r="D372" s="19" t="n"/>
      <c r="E372" s="19" t="n"/>
      <c r="F372" s="19" t="n"/>
      <c r="G372" s="19" t="n"/>
      <c r="H372" s="18">
        <f>IF(D372="","",IF(D372="No","Lost",IF(E372="Dofollow","Live","Live (nofollow)")))</f>
        <v/>
      </c>
      <c r="I372" s="19" t="n"/>
    </row>
    <row r="373">
      <c r="A373" s="19" t="n"/>
      <c r="B373" s="19" t="n"/>
      <c r="C373" s="21" t="n"/>
      <c r="D373" s="19" t="n"/>
      <c r="E373" s="19" t="n"/>
      <c r="F373" s="19" t="n"/>
      <c r="G373" s="19" t="n"/>
      <c r="H373" s="18">
        <f>IF(D373="","",IF(D373="No","Lost",IF(E373="Dofollow","Live","Live (nofollow)")))</f>
        <v/>
      </c>
      <c r="I373" s="19" t="n"/>
    </row>
    <row r="374">
      <c r="A374" s="19" t="n"/>
      <c r="B374" s="19" t="n"/>
      <c r="C374" s="21" t="n"/>
      <c r="D374" s="19" t="n"/>
      <c r="E374" s="19" t="n"/>
      <c r="F374" s="19" t="n"/>
      <c r="G374" s="19" t="n"/>
      <c r="H374" s="18">
        <f>IF(D374="","",IF(D374="No","Lost",IF(E374="Dofollow","Live","Live (nofollow)")))</f>
        <v/>
      </c>
      <c r="I374" s="19" t="n"/>
    </row>
    <row r="375">
      <c r="A375" s="19" t="n"/>
      <c r="B375" s="19" t="n"/>
      <c r="C375" s="21" t="n"/>
      <c r="D375" s="19" t="n"/>
      <c r="E375" s="19" t="n"/>
      <c r="F375" s="19" t="n"/>
      <c r="G375" s="19" t="n"/>
      <c r="H375" s="18">
        <f>IF(D375="","",IF(D375="No","Lost",IF(E375="Dofollow","Live","Live (nofollow)")))</f>
        <v/>
      </c>
      <c r="I375" s="19" t="n"/>
    </row>
    <row r="376">
      <c r="A376" s="19" t="n"/>
      <c r="B376" s="19" t="n"/>
      <c r="C376" s="21" t="n"/>
      <c r="D376" s="19" t="n"/>
      <c r="E376" s="19" t="n"/>
      <c r="F376" s="19" t="n"/>
      <c r="G376" s="19" t="n"/>
      <c r="H376" s="18">
        <f>IF(D376="","",IF(D376="No","Lost",IF(E376="Dofollow","Live","Live (nofollow)")))</f>
        <v/>
      </c>
      <c r="I376" s="19" t="n"/>
    </row>
    <row r="377">
      <c r="A377" s="19" t="n"/>
      <c r="B377" s="19" t="n"/>
      <c r="C377" s="21" t="n"/>
      <c r="D377" s="19" t="n"/>
      <c r="E377" s="19" t="n"/>
      <c r="F377" s="19" t="n"/>
      <c r="G377" s="19" t="n"/>
      <c r="H377" s="18">
        <f>IF(D377="","",IF(D377="No","Lost",IF(E377="Dofollow","Live","Live (nofollow)")))</f>
        <v/>
      </c>
      <c r="I377" s="19" t="n"/>
    </row>
    <row r="378">
      <c r="A378" s="19" t="n"/>
      <c r="B378" s="19" t="n"/>
      <c r="C378" s="21" t="n"/>
      <c r="D378" s="19" t="n"/>
      <c r="E378" s="19" t="n"/>
      <c r="F378" s="19" t="n"/>
      <c r="G378" s="19" t="n"/>
      <c r="H378" s="18">
        <f>IF(D378="","",IF(D378="No","Lost",IF(E378="Dofollow","Live","Live (nofollow)")))</f>
        <v/>
      </c>
      <c r="I378" s="19" t="n"/>
    </row>
    <row r="379">
      <c r="A379" s="19" t="n"/>
      <c r="B379" s="19" t="n"/>
      <c r="C379" s="21" t="n"/>
      <c r="D379" s="19" t="n"/>
      <c r="E379" s="19" t="n"/>
      <c r="F379" s="19" t="n"/>
      <c r="G379" s="19" t="n"/>
      <c r="H379" s="18">
        <f>IF(D379="","",IF(D379="No","Lost",IF(E379="Dofollow","Live","Live (nofollow)")))</f>
        <v/>
      </c>
      <c r="I379" s="19" t="n"/>
    </row>
    <row r="380">
      <c r="A380" s="19" t="n"/>
      <c r="B380" s="19" t="n"/>
      <c r="C380" s="21" t="n"/>
      <c r="D380" s="19" t="n"/>
      <c r="E380" s="19" t="n"/>
      <c r="F380" s="19" t="n"/>
      <c r="G380" s="19" t="n"/>
      <c r="H380" s="18">
        <f>IF(D380="","",IF(D380="No","Lost",IF(E380="Dofollow","Live","Live (nofollow)")))</f>
        <v/>
      </c>
      <c r="I380" s="19" t="n"/>
    </row>
    <row r="381">
      <c r="A381" s="19" t="n"/>
      <c r="B381" s="19" t="n"/>
      <c r="C381" s="21" t="n"/>
      <c r="D381" s="19" t="n"/>
      <c r="E381" s="19" t="n"/>
      <c r="F381" s="19" t="n"/>
      <c r="G381" s="19" t="n"/>
      <c r="H381" s="18">
        <f>IF(D381="","",IF(D381="No","Lost",IF(E381="Dofollow","Live","Live (nofollow)")))</f>
        <v/>
      </c>
      <c r="I381" s="19" t="n"/>
    </row>
    <row r="382">
      <c r="A382" s="19" t="n"/>
      <c r="B382" s="19" t="n"/>
      <c r="C382" s="21" t="n"/>
      <c r="D382" s="19" t="n"/>
      <c r="E382" s="19" t="n"/>
      <c r="F382" s="19" t="n"/>
      <c r="G382" s="19" t="n"/>
      <c r="H382" s="18">
        <f>IF(D382="","",IF(D382="No","Lost",IF(E382="Dofollow","Live","Live (nofollow)")))</f>
        <v/>
      </c>
      <c r="I382" s="19" t="n"/>
    </row>
    <row r="383">
      <c r="A383" s="19" t="n"/>
      <c r="B383" s="19" t="n"/>
      <c r="C383" s="21" t="n"/>
      <c r="D383" s="19" t="n"/>
      <c r="E383" s="19" t="n"/>
      <c r="F383" s="19" t="n"/>
      <c r="G383" s="19" t="n"/>
      <c r="H383" s="18">
        <f>IF(D383="","",IF(D383="No","Lost",IF(E383="Dofollow","Live","Live (nofollow)")))</f>
        <v/>
      </c>
      <c r="I383" s="19" t="n"/>
    </row>
    <row r="384">
      <c r="A384" s="19" t="n"/>
      <c r="B384" s="19" t="n"/>
      <c r="C384" s="21" t="n"/>
      <c r="D384" s="19" t="n"/>
      <c r="E384" s="19" t="n"/>
      <c r="F384" s="19" t="n"/>
      <c r="G384" s="19" t="n"/>
      <c r="H384" s="18">
        <f>IF(D384="","",IF(D384="No","Lost",IF(E384="Dofollow","Live","Live (nofollow)")))</f>
        <v/>
      </c>
      <c r="I384" s="19" t="n"/>
    </row>
    <row r="385">
      <c r="A385" s="19" t="n"/>
      <c r="B385" s="19" t="n"/>
      <c r="C385" s="21" t="n"/>
      <c r="D385" s="19" t="n"/>
      <c r="E385" s="19" t="n"/>
      <c r="F385" s="19" t="n"/>
      <c r="G385" s="19" t="n"/>
      <c r="H385" s="18">
        <f>IF(D385="","",IF(D385="No","Lost",IF(E385="Dofollow","Live","Live (nofollow)")))</f>
        <v/>
      </c>
      <c r="I385" s="19" t="n"/>
    </row>
    <row r="386">
      <c r="A386" s="19" t="n"/>
      <c r="B386" s="19" t="n"/>
      <c r="C386" s="21" t="n"/>
      <c r="D386" s="19" t="n"/>
      <c r="E386" s="19" t="n"/>
      <c r="F386" s="19" t="n"/>
      <c r="G386" s="19" t="n"/>
      <c r="H386" s="18">
        <f>IF(D386="","",IF(D386="No","Lost",IF(E386="Dofollow","Live","Live (nofollow)")))</f>
        <v/>
      </c>
      <c r="I386" s="19" t="n"/>
    </row>
    <row r="387">
      <c r="A387" s="19" t="n"/>
      <c r="B387" s="19" t="n"/>
      <c r="C387" s="21" t="n"/>
      <c r="D387" s="19" t="n"/>
      <c r="E387" s="19" t="n"/>
      <c r="F387" s="19" t="n"/>
      <c r="G387" s="19" t="n"/>
      <c r="H387" s="18">
        <f>IF(D387="","",IF(D387="No","Lost",IF(E387="Dofollow","Live","Live (nofollow)")))</f>
        <v/>
      </c>
      <c r="I387" s="19" t="n"/>
    </row>
    <row r="388">
      <c r="A388" s="19" t="n"/>
      <c r="B388" s="19" t="n"/>
      <c r="C388" s="21" t="n"/>
      <c r="D388" s="19" t="n"/>
      <c r="E388" s="19" t="n"/>
      <c r="F388" s="19" t="n"/>
      <c r="G388" s="19" t="n"/>
      <c r="H388" s="18">
        <f>IF(D388="","",IF(D388="No","Lost",IF(E388="Dofollow","Live","Live (nofollow)")))</f>
        <v/>
      </c>
      <c r="I388" s="19" t="n"/>
    </row>
    <row r="389">
      <c r="A389" s="19" t="n"/>
      <c r="B389" s="19" t="n"/>
      <c r="C389" s="21" t="n"/>
      <c r="D389" s="19" t="n"/>
      <c r="E389" s="19" t="n"/>
      <c r="F389" s="19" t="n"/>
      <c r="G389" s="19" t="n"/>
      <c r="H389" s="18">
        <f>IF(D389="","",IF(D389="No","Lost",IF(E389="Dofollow","Live","Live (nofollow)")))</f>
        <v/>
      </c>
      <c r="I389" s="19" t="n"/>
    </row>
    <row r="390">
      <c r="A390" s="19" t="n"/>
      <c r="B390" s="19" t="n"/>
      <c r="C390" s="21" t="n"/>
      <c r="D390" s="19" t="n"/>
      <c r="E390" s="19" t="n"/>
      <c r="F390" s="19" t="n"/>
      <c r="G390" s="19" t="n"/>
      <c r="H390" s="18">
        <f>IF(D390="","",IF(D390="No","Lost",IF(E390="Dofollow","Live","Live (nofollow)")))</f>
        <v/>
      </c>
      <c r="I390" s="19" t="n"/>
    </row>
    <row r="391">
      <c r="A391" s="19" t="n"/>
      <c r="B391" s="19" t="n"/>
      <c r="C391" s="21" t="n"/>
      <c r="D391" s="19" t="n"/>
      <c r="E391" s="19" t="n"/>
      <c r="F391" s="19" t="n"/>
      <c r="G391" s="19" t="n"/>
      <c r="H391" s="18">
        <f>IF(D391="","",IF(D391="No","Lost",IF(E391="Dofollow","Live","Live (nofollow)")))</f>
        <v/>
      </c>
      <c r="I391" s="19" t="n"/>
    </row>
    <row r="392">
      <c r="A392" s="19" t="n"/>
      <c r="B392" s="19" t="n"/>
      <c r="C392" s="21" t="n"/>
      <c r="D392" s="19" t="n"/>
      <c r="E392" s="19" t="n"/>
      <c r="F392" s="19" t="n"/>
      <c r="G392" s="19" t="n"/>
      <c r="H392" s="18">
        <f>IF(D392="","",IF(D392="No","Lost",IF(E392="Dofollow","Live","Live (nofollow)")))</f>
        <v/>
      </c>
      <c r="I392" s="19" t="n"/>
    </row>
    <row r="393">
      <c r="A393" s="19" t="n"/>
      <c r="B393" s="19" t="n"/>
      <c r="C393" s="21" t="n"/>
      <c r="D393" s="19" t="n"/>
      <c r="E393" s="19" t="n"/>
      <c r="F393" s="19" t="n"/>
      <c r="G393" s="19" t="n"/>
      <c r="H393" s="18">
        <f>IF(D393="","",IF(D393="No","Lost",IF(E393="Dofollow","Live","Live (nofollow)")))</f>
        <v/>
      </c>
      <c r="I393" s="19" t="n"/>
    </row>
    <row r="394">
      <c r="A394" s="19" t="n"/>
      <c r="B394" s="19" t="n"/>
      <c r="C394" s="21" t="n"/>
      <c r="D394" s="19" t="n"/>
      <c r="E394" s="19" t="n"/>
      <c r="F394" s="19" t="n"/>
      <c r="G394" s="19" t="n"/>
      <c r="H394" s="18">
        <f>IF(D394="","",IF(D394="No","Lost",IF(E394="Dofollow","Live","Live (nofollow)")))</f>
        <v/>
      </c>
      <c r="I394" s="19" t="n"/>
    </row>
    <row r="395">
      <c r="A395" s="19" t="n"/>
      <c r="B395" s="19" t="n"/>
      <c r="C395" s="21" t="n"/>
      <c r="D395" s="19" t="n"/>
      <c r="E395" s="19" t="n"/>
      <c r="F395" s="19" t="n"/>
      <c r="G395" s="19" t="n"/>
      <c r="H395" s="18">
        <f>IF(D395="","",IF(D395="No","Lost",IF(E395="Dofollow","Live","Live (nofollow)")))</f>
        <v/>
      </c>
      <c r="I395" s="19" t="n"/>
    </row>
    <row r="396">
      <c r="A396" s="19" t="n"/>
      <c r="B396" s="19" t="n"/>
      <c r="C396" s="21" t="n"/>
      <c r="D396" s="19" t="n"/>
      <c r="E396" s="19" t="n"/>
      <c r="F396" s="19" t="n"/>
      <c r="G396" s="19" t="n"/>
      <c r="H396" s="18">
        <f>IF(D396="","",IF(D396="No","Lost",IF(E396="Dofollow","Live","Live (nofollow)")))</f>
        <v/>
      </c>
      <c r="I396" s="19" t="n"/>
    </row>
    <row r="397">
      <c r="A397" s="19" t="n"/>
      <c r="B397" s="19" t="n"/>
      <c r="C397" s="21" t="n"/>
      <c r="D397" s="19" t="n"/>
      <c r="E397" s="19" t="n"/>
      <c r="F397" s="19" t="n"/>
      <c r="G397" s="19" t="n"/>
      <c r="H397" s="18">
        <f>IF(D397="","",IF(D397="No","Lost",IF(E397="Dofollow","Live","Live (nofollow)")))</f>
        <v/>
      </c>
      <c r="I397" s="19" t="n"/>
    </row>
    <row r="398">
      <c r="A398" s="19" t="n"/>
      <c r="B398" s="19" t="n"/>
      <c r="C398" s="21" t="n"/>
      <c r="D398" s="19" t="n"/>
      <c r="E398" s="19" t="n"/>
      <c r="F398" s="19" t="n"/>
      <c r="G398" s="19" t="n"/>
      <c r="H398" s="18">
        <f>IF(D398="","",IF(D398="No","Lost",IF(E398="Dofollow","Live","Live (nofollow)")))</f>
        <v/>
      </c>
      <c r="I398" s="19" t="n"/>
    </row>
    <row r="399">
      <c r="A399" s="19" t="n"/>
      <c r="B399" s="19" t="n"/>
      <c r="C399" s="21" t="n"/>
      <c r="D399" s="19" t="n"/>
      <c r="E399" s="19" t="n"/>
      <c r="F399" s="19" t="n"/>
      <c r="G399" s="19" t="n"/>
      <c r="H399" s="18">
        <f>IF(D399="","",IF(D399="No","Lost",IF(E399="Dofollow","Live","Live (nofollow)")))</f>
        <v/>
      </c>
      <c r="I399" s="19" t="n"/>
    </row>
    <row r="400">
      <c r="A400" s="19" t="n"/>
      <c r="B400" s="19" t="n"/>
      <c r="C400" s="21" t="n"/>
      <c r="D400" s="19" t="n"/>
      <c r="E400" s="19" t="n"/>
      <c r="F400" s="19" t="n"/>
      <c r="G400" s="19" t="n"/>
      <c r="H400" s="18">
        <f>IF(D400="","",IF(D400="No","Lost",IF(E400="Dofollow","Live","Live (nofollow)")))</f>
        <v/>
      </c>
      <c r="I400" s="19" t="n"/>
    </row>
    <row r="401">
      <c r="A401" s="19" t="n"/>
      <c r="B401" s="19" t="n"/>
      <c r="C401" s="21" t="n"/>
      <c r="D401" s="19" t="n"/>
      <c r="E401" s="19" t="n"/>
      <c r="F401" s="19" t="n"/>
      <c r="G401" s="19" t="n"/>
      <c r="H401" s="18">
        <f>IF(D401="","",IF(D401="No","Lost",IF(E401="Dofollow","Live","Live (nofollow)")))</f>
        <v/>
      </c>
      <c r="I401" s="19" t="n"/>
    </row>
    <row r="402">
      <c r="A402" s="19" t="n"/>
      <c r="B402" s="19" t="n"/>
      <c r="C402" s="21" t="n"/>
      <c r="D402" s="19" t="n"/>
      <c r="E402" s="19" t="n"/>
      <c r="F402" s="19" t="n"/>
      <c r="G402" s="19" t="n"/>
      <c r="H402" s="18">
        <f>IF(D402="","",IF(D402="No","Lost",IF(E402="Dofollow","Live","Live (nofollow)")))</f>
        <v/>
      </c>
      <c r="I402" s="19" t="n"/>
    </row>
    <row r="403">
      <c r="A403" s="19" t="n"/>
      <c r="B403" s="19" t="n"/>
      <c r="C403" s="21" t="n"/>
      <c r="D403" s="19" t="n"/>
      <c r="E403" s="19" t="n"/>
      <c r="F403" s="19" t="n"/>
      <c r="G403" s="19" t="n"/>
      <c r="H403" s="18">
        <f>IF(D403="","",IF(D403="No","Lost",IF(E403="Dofollow","Live","Live (nofollow)")))</f>
        <v/>
      </c>
      <c r="I403" s="19" t="n"/>
    </row>
    <row r="404">
      <c r="A404" s="19" t="n"/>
      <c r="B404" s="19" t="n"/>
      <c r="C404" s="21" t="n"/>
      <c r="D404" s="19" t="n"/>
      <c r="E404" s="19" t="n"/>
      <c r="F404" s="19" t="n"/>
      <c r="G404" s="19" t="n"/>
      <c r="H404" s="18">
        <f>IF(D404="","",IF(D404="No","Lost",IF(E404="Dofollow","Live","Live (nofollow)")))</f>
        <v/>
      </c>
      <c r="I404" s="19" t="n"/>
    </row>
    <row r="405">
      <c r="A405" s="19" t="n"/>
      <c r="B405" s="19" t="n"/>
      <c r="C405" s="21" t="n"/>
      <c r="D405" s="19" t="n"/>
      <c r="E405" s="19" t="n"/>
      <c r="F405" s="19" t="n"/>
      <c r="G405" s="19" t="n"/>
      <c r="H405" s="18">
        <f>IF(D405="","",IF(D405="No","Lost",IF(E405="Dofollow","Live","Live (nofollow)")))</f>
        <v/>
      </c>
      <c r="I405" s="19" t="n"/>
    </row>
    <row r="406">
      <c r="A406" s="19" t="n"/>
      <c r="B406" s="19" t="n"/>
      <c r="C406" s="21" t="n"/>
      <c r="D406" s="19" t="n"/>
      <c r="E406" s="19" t="n"/>
      <c r="F406" s="19" t="n"/>
      <c r="G406" s="19" t="n"/>
      <c r="H406" s="18">
        <f>IF(D406="","",IF(D406="No","Lost",IF(E406="Dofollow","Live","Live (nofollow)")))</f>
        <v/>
      </c>
      <c r="I406" s="19" t="n"/>
    </row>
    <row r="407">
      <c r="A407" s="19" t="n"/>
      <c r="B407" s="19" t="n"/>
      <c r="C407" s="21" t="n"/>
      <c r="D407" s="19" t="n"/>
      <c r="E407" s="19" t="n"/>
      <c r="F407" s="19" t="n"/>
      <c r="G407" s="19" t="n"/>
      <c r="H407" s="18">
        <f>IF(D407="","",IF(D407="No","Lost",IF(E407="Dofollow","Live","Live (nofollow)")))</f>
        <v/>
      </c>
      <c r="I407" s="19" t="n"/>
    </row>
    <row r="408">
      <c r="A408" s="19" t="n"/>
      <c r="B408" s="19" t="n"/>
      <c r="C408" s="21" t="n"/>
      <c r="D408" s="19" t="n"/>
      <c r="E408" s="19" t="n"/>
      <c r="F408" s="19" t="n"/>
      <c r="G408" s="19" t="n"/>
      <c r="H408" s="18">
        <f>IF(D408="","",IF(D408="No","Lost",IF(E408="Dofollow","Live","Live (nofollow)")))</f>
        <v/>
      </c>
      <c r="I408" s="19" t="n"/>
    </row>
    <row r="409">
      <c r="A409" s="19" t="n"/>
      <c r="B409" s="19" t="n"/>
      <c r="C409" s="21" t="n"/>
      <c r="D409" s="19" t="n"/>
      <c r="E409" s="19" t="n"/>
      <c r="F409" s="19" t="n"/>
      <c r="G409" s="19" t="n"/>
      <c r="H409" s="18">
        <f>IF(D409="","",IF(D409="No","Lost",IF(E409="Dofollow","Live","Live (nofollow)")))</f>
        <v/>
      </c>
      <c r="I409" s="19" t="n"/>
    </row>
    <row r="410">
      <c r="A410" s="19" t="n"/>
      <c r="B410" s="19" t="n"/>
      <c r="C410" s="21" t="n"/>
      <c r="D410" s="19" t="n"/>
      <c r="E410" s="19" t="n"/>
      <c r="F410" s="19" t="n"/>
      <c r="G410" s="19" t="n"/>
      <c r="H410" s="18">
        <f>IF(D410="","",IF(D410="No","Lost",IF(E410="Dofollow","Live","Live (nofollow)")))</f>
        <v/>
      </c>
      <c r="I410" s="19" t="n"/>
    </row>
    <row r="411">
      <c r="A411" s="19" t="n"/>
      <c r="B411" s="19" t="n"/>
      <c r="C411" s="21" t="n"/>
      <c r="D411" s="19" t="n"/>
      <c r="E411" s="19" t="n"/>
      <c r="F411" s="19" t="n"/>
      <c r="G411" s="19" t="n"/>
      <c r="H411" s="18">
        <f>IF(D411="","",IF(D411="No","Lost",IF(E411="Dofollow","Live","Live (nofollow)")))</f>
        <v/>
      </c>
      <c r="I411" s="19" t="n"/>
    </row>
    <row r="412">
      <c r="A412" s="19" t="n"/>
      <c r="B412" s="19" t="n"/>
      <c r="C412" s="21" t="n"/>
      <c r="D412" s="19" t="n"/>
      <c r="E412" s="19" t="n"/>
      <c r="F412" s="19" t="n"/>
      <c r="G412" s="19" t="n"/>
      <c r="H412" s="18">
        <f>IF(D412="","",IF(D412="No","Lost",IF(E412="Dofollow","Live","Live (nofollow)")))</f>
        <v/>
      </c>
      <c r="I412" s="19" t="n"/>
    </row>
    <row r="413">
      <c r="A413" s="19" t="n"/>
      <c r="B413" s="19" t="n"/>
      <c r="C413" s="21" t="n"/>
      <c r="D413" s="19" t="n"/>
      <c r="E413" s="19" t="n"/>
      <c r="F413" s="19" t="n"/>
      <c r="G413" s="19" t="n"/>
      <c r="H413" s="18">
        <f>IF(D413="","",IF(D413="No","Lost",IF(E413="Dofollow","Live","Live (nofollow)")))</f>
        <v/>
      </c>
      <c r="I413" s="19" t="n"/>
    </row>
    <row r="414">
      <c r="A414" s="19" t="n"/>
      <c r="B414" s="19" t="n"/>
      <c r="C414" s="21" t="n"/>
      <c r="D414" s="19" t="n"/>
      <c r="E414" s="19" t="n"/>
      <c r="F414" s="19" t="n"/>
      <c r="G414" s="19" t="n"/>
      <c r="H414" s="18">
        <f>IF(D414="","",IF(D414="No","Lost",IF(E414="Dofollow","Live","Live (nofollow)")))</f>
        <v/>
      </c>
      <c r="I414" s="19" t="n"/>
    </row>
    <row r="415">
      <c r="A415" s="19" t="n"/>
      <c r="B415" s="19" t="n"/>
      <c r="C415" s="21" t="n"/>
      <c r="D415" s="19" t="n"/>
      <c r="E415" s="19" t="n"/>
      <c r="F415" s="19" t="n"/>
      <c r="G415" s="19" t="n"/>
      <c r="H415" s="18">
        <f>IF(D415="","",IF(D415="No","Lost",IF(E415="Dofollow","Live","Live (nofollow)")))</f>
        <v/>
      </c>
      <c r="I415" s="19" t="n"/>
    </row>
    <row r="416">
      <c r="A416" s="19" t="n"/>
      <c r="B416" s="19" t="n"/>
      <c r="C416" s="21" t="n"/>
      <c r="D416" s="19" t="n"/>
      <c r="E416" s="19" t="n"/>
      <c r="F416" s="19" t="n"/>
      <c r="G416" s="19" t="n"/>
      <c r="H416" s="18">
        <f>IF(D416="","",IF(D416="No","Lost",IF(E416="Dofollow","Live","Live (nofollow)")))</f>
        <v/>
      </c>
      <c r="I416" s="19" t="n"/>
    </row>
    <row r="417">
      <c r="A417" s="19" t="n"/>
      <c r="B417" s="19" t="n"/>
      <c r="C417" s="21" t="n"/>
      <c r="D417" s="19" t="n"/>
      <c r="E417" s="19" t="n"/>
      <c r="F417" s="19" t="n"/>
      <c r="G417" s="19" t="n"/>
      <c r="H417" s="18">
        <f>IF(D417="","",IF(D417="No","Lost",IF(E417="Dofollow","Live","Live (nofollow)")))</f>
        <v/>
      </c>
      <c r="I417" s="19" t="n"/>
    </row>
    <row r="418">
      <c r="A418" s="19" t="n"/>
      <c r="B418" s="19" t="n"/>
      <c r="C418" s="21" t="n"/>
      <c r="D418" s="19" t="n"/>
      <c r="E418" s="19" t="n"/>
      <c r="F418" s="19" t="n"/>
      <c r="G418" s="19" t="n"/>
      <c r="H418" s="18">
        <f>IF(D418="","",IF(D418="No","Lost",IF(E418="Dofollow","Live","Live (nofollow)")))</f>
        <v/>
      </c>
      <c r="I418" s="19" t="n"/>
    </row>
    <row r="419">
      <c r="A419" s="19" t="n"/>
      <c r="B419" s="19" t="n"/>
      <c r="C419" s="21" t="n"/>
      <c r="D419" s="19" t="n"/>
      <c r="E419" s="19" t="n"/>
      <c r="F419" s="19" t="n"/>
      <c r="G419" s="19" t="n"/>
      <c r="H419" s="18">
        <f>IF(D419="","",IF(D419="No","Lost",IF(E419="Dofollow","Live","Live (nofollow)")))</f>
        <v/>
      </c>
      <c r="I419" s="19" t="n"/>
    </row>
    <row r="420">
      <c r="A420" s="19" t="n"/>
      <c r="B420" s="19" t="n"/>
      <c r="C420" s="21" t="n"/>
      <c r="D420" s="19" t="n"/>
      <c r="E420" s="19" t="n"/>
      <c r="F420" s="19" t="n"/>
      <c r="G420" s="19" t="n"/>
      <c r="H420" s="18">
        <f>IF(D420="","",IF(D420="No","Lost",IF(E420="Dofollow","Live","Live (nofollow)")))</f>
        <v/>
      </c>
      <c r="I420" s="19" t="n"/>
    </row>
    <row r="421">
      <c r="A421" s="19" t="n"/>
      <c r="B421" s="19" t="n"/>
      <c r="C421" s="21" t="n"/>
      <c r="D421" s="19" t="n"/>
      <c r="E421" s="19" t="n"/>
      <c r="F421" s="19" t="n"/>
      <c r="G421" s="19" t="n"/>
      <c r="H421" s="18">
        <f>IF(D421="","",IF(D421="No","Lost",IF(E421="Dofollow","Live","Live (nofollow)")))</f>
        <v/>
      </c>
      <c r="I421" s="19" t="n"/>
    </row>
    <row r="422">
      <c r="A422" s="19" t="n"/>
      <c r="B422" s="19" t="n"/>
      <c r="C422" s="21" t="n"/>
      <c r="D422" s="19" t="n"/>
      <c r="E422" s="19" t="n"/>
      <c r="F422" s="19" t="n"/>
      <c r="G422" s="19" t="n"/>
      <c r="H422" s="18">
        <f>IF(D422="","",IF(D422="No","Lost",IF(E422="Dofollow","Live","Live (nofollow)")))</f>
        <v/>
      </c>
      <c r="I422" s="19" t="n"/>
    </row>
    <row r="423">
      <c r="A423" s="19" t="n"/>
      <c r="B423" s="19" t="n"/>
      <c r="C423" s="21" t="n"/>
      <c r="D423" s="19" t="n"/>
      <c r="E423" s="19" t="n"/>
      <c r="F423" s="19" t="n"/>
      <c r="G423" s="19" t="n"/>
      <c r="H423" s="18">
        <f>IF(D423="","",IF(D423="No","Lost",IF(E423="Dofollow","Live","Live (nofollow)")))</f>
        <v/>
      </c>
      <c r="I423" s="19" t="n"/>
    </row>
    <row r="424">
      <c r="A424" s="19" t="n"/>
      <c r="B424" s="19" t="n"/>
      <c r="C424" s="21" t="n"/>
      <c r="D424" s="19" t="n"/>
      <c r="E424" s="19" t="n"/>
      <c r="F424" s="19" t="n"/>
      <c r="G424" s="19" t="n"/>
      <c r="H424" s="18">
        <f>IF(D424="","",IF(D424="No","Lost",IF(E424="Dofollow","Live","Live (nofollow)")))</f>
        <v/>
      </c>
      <c r="I424" s="19" t="n"/>
    </row>
    <row r="425">
      <c r="A425" s="19" t="n"/>
      <c r="B425" s="19" t="n"/>
      <c r="C425" s="21" t="n"/>
      <c r="D425" s="19" t="n"/>
      <c r="E425" s="19" t="n"/>
      <c r="F425" s="19" t="n"/>
      <c r="G425" s="19" t="n"/>
      <c r="H425" s="18">
        <f>IF(D425="","",IF(D425="No","Lost",IF(E425="Dofollow","Live","Live (nofollow)")))</f>
        <v/>
      </c>
      <c r="I425" s="19" t="n"/>
    </row>
    <row r="426">
      <c r="A426" s="19" t="n"/>
      <c r="B426" s="19" t="n"/>
      <c r="C426" s="21" t="n"/>
      <c r="D426" s="19" t="n"/>
      <c r="E426" s="19" t="n"/>
      <c r="F426" s="19" t="n"/>
      <c r="G426" s="19" t="n"/>
      <c r="H426" s="18">
        <f>IF(D426="","",IF(D426="No","Lost",IF(E426="Dofollow","Live","Live (nofollow)")))</f>
        <v/>
      </c>
      <c r="I426" s="19" t="n"/>
    </row>
    <row r="427">
      <c r="A427" s="19" t="n"/>
      <c r="B427" s="19" t="n"/>
      <c r="C427" s="21" t="n"/>
      <c r="D427" s="19" t="n"/>
      <c r="E427" s="19" t="n"/>
      <c r="F427" s="19" t="n"/>
      <c r="G427" s="19" t="n"/>
      <c r="H427" s="18">
        <f>IF(D427="","",IF(D427="No","Lost",IF(E427="Dofollow","Live","Live (nofollow)")))</f>
        <v/>
      </c>
      <c r="I427" s="19" t="n"/>
    </row>
    <row r="428">
      <c r="A428" s="19" t="n"/>
      <c r="B428" s="19" t="n"/>
      <c r="C428" s="21" t="n"/>
      <c r="D428" s="19" t="n"/>
      <c r="E428" s="19" t="n"/>
      <c r="F428" s="19" t="n"/>
      <c r="G428" s="19" t="n"/>
      <c r="H428" s="18">
        <f>IF(D428="","",IF(D428="No","Lost",IF(E428="Dofollow","Live","Live (nofollow)")))</f>
        <v/>
      </c>
      <c r="I428" s="19" t="n"/>
    </row>
    <row r="429">
      <c r="A429" s="19" t="n"/>
      <c r="B429" s="19" t="n"/>
      <c r="C429" s="21" t="n"/>
      <c r="D429" s="19" t="n"/>
      <c r="E429" s="19" t="n"/>
      <c r="F429" s="19" t="n"/>
      <c r="G429" s="19" t="n"/>
      <c r="H429" s="18">
        <f>IF(D429="","",IF(D429="No","Lost",IF(E429="Dofollow","Live","Live (nofollow)")))</f>
        <v/>
      </c>
      <c r="I429" s="19" t="n"/>
    </row>
    <row r="430">
      <c r="A430" s="19" t="n"/>
      <c r="B430" s="19" t="n"/>
      <c r="C430" s="21" t="n"/>
      <c r="D430" s="19" t="n"/>
      <c r="E430" s="19" t="n"/>
      <c r="F430" s="19" t="n"/>
      <c r="G430" s="19" t="n"/>
      <c r="H430" s="18">
        <f>IF(D430="","",IF(D430="No","Lost",IF(E430="Dofollow","Live","Live (nofollow)")))</f>
        <v/>
      </c>
      <c r="I430" s="19" t="n"/>
    </row>
    <row r="431">
      <c r="A431" s="19" t="n"/>
      <c r="B431" s="19" t="n"/>
      <c r="C431" s="21" t="n"/>
      <c r="D431" s="19" t="n"/>
      <c r="E431" s="19" t="n"/>
      <c r="F431" s="19" t="n"/>
      <c r="G431" s="19" t="n"/>
      <c r="H431" s="18">
        <f>IF(D431="","",IF(D431="No","Lost",IF(E431="Dofollow","Live","Live (nofollow)")))</f>
        <v/>
      </c>
      <c r="I431" s="19" t="n"/>
    </row>
    <row r="432">
      <c r="A432" s="19" t="n"/>
      <c r="B432" s="19" t="n"/>
      <c r="C432" s="21" t="n"/>
      <c r="D432" s="19" t="n"/>
      <c r="E432" s="19" t="n"/>
      <c r="F432" s="19" t="n"/>
      <c r="G432" s="19" t="n"/>
      <c r="H432" s="18">
        <f>IF(D432="","",IF(D432="No","Lost",IF(E432="Dofollow","Live","Live (nofollow)")))</f>
        <v/>
      </c>
      <c r="I432" s="19" t="n"/>
    </row>
    <row r="433">
      <c r="A433" s="19" t="n"/>
      <c r="B433" s="19" t="n"/>
      <c r="C433" s="21" t="n"/>
      <c r="D433" s="19" t="n"/>
      <c r="E433" s="19" t="n"/>
      <c r="F433" s="19" t="n"/>
      <c r="G433" s="19" t="n"/>
      <c r="H433" s="18">
        <f>IF(D433="","",IF(D433="No","Lost",IF(E433="Dofollow","Live","Live (nofollow)")))</f>
        <v/>
      </c>
      <c r="I433" s="19" t="n"/>
    </row>
    <row r="434">
      <c r="A434" s="19" t="n"/>
      <c r="B434" s="19" t="n"/>
      <c r="C434" s="21" t="n"/>
      <c r="D434" s="19" t="n"/>
      <c r="E434" s="19" t="n"/>
      <c r="F434" s="19" t="n"/>
      <c r="G434" s="19" t="n"/>
      <c r="H434" s="18">
        <f>IF(D434="","",IF(D434="No","Lost",IF(E434="Dofollow","Live","Live (nofollow)")))</f>
        <v/>
      </c>
      <c r="I434" s="19" t="n"/>
    </row>
    <row r="435">
      <c r="A435" s="19" t="n"/>
      <c r="B435" s="19" t="n"/>
      <c r="C435" s="21" t="n"/>
      <c r="D435" s="19" t="n"/>
      <c r="E435" s="19" t="n"/>
      <c r="F435" s="19" t="n"/>
      <c r="G435" s="19" t="n"/>
      <c r="H435" s="18">
        <f>IF(D435="","",IF(D435="No","Lost",IF(E435="Dofollow","Live","Live (nofollow)")))</f>
        <v/>
      </c>
      <c r="I435" s="19" t="n"/>
    </row>
    <row r="436">
      <c r="A436" s="19" t="n"/>
      <c r="B436" s="19" t="n"/>
      <c r="C436" s="21" t="n"/>
      <c r="D436" s="19" t="n"/>
      <c r="E436" s="19" t="n"/>
      <c r="F436" s="19" t="n"/>
      <c r="G436" s="19" t="n"/>
      <c r="H436" s="18">
        <f>IF(D436="","",IF(D436="No","Lost",IF(E436="Dofollow","Live","Live (nofollow)")))</f>
        <v/>
      </c>
      <c r="I436" s="19" t="n"/>
    </row>
    <row r="437">
      <c r="A437" s="19" t="n"/>
      <c r="B437" s="19" t="n"/>
      <c r="C437" s="21" t="n"/>
      <c r="D437" s="19" t="n"/>
      <c r="E437" s="19" t="n"/>
      <c r="F437" s="19" t="n"/>
      <c r="G437" s="19" t="n"/>
      <c r="H437" s="18">
        <f>IF(D437="","",IF(D437="No","Lost",IF(E437="Dofollow","Live","Live (nofollow)")))</f>
        <v/>
      </c>
      <c r="I437" s="19" t="n"/>
    </row>
    <row r="438">
      <c r="A438" s="19" t="n"/>
      <c r="B438" s="19" t="n"/>
      <c r="C438" s="21" t="n"/>
      <c r="D438" s="19" t="n"/>
      <c r="E438" s="19" t="n"/>
      <c r="F438" s="19" t="n"/>
      <c r="G438" s="19" t="n"/>
      <c r="H438" s="18">
        <f>IF(D438="","",IF(D438="No","Lost",IF(E438="Dofollow","Live","Live (nofollow)")))</f>
        <v/>
      </c>
      <c r="I438" s="19" t="n"/>
    </row>
    <row r="439">
      <c r="A439" s="19" t="n"/>
      <c r="B439" s="19" t="n"/>
      <c r="C439" s="21" t="n"/>
      <c r="D439" s="19" t="n"/>
      <c r="E439" s="19" t="n"/>
      <c r="F439" s="19" t="n"/>
      <c r="G439" s="19" t="n"/>
      <c r="H439" s="18">
        <f>IF(D439="","",IF(D439="No","Lost",IF(E439="Dofollow","Live","Live (nofollow)")))</f>
        <v/>
      </c>
      <c r="I439" s="19" t="n"/>
    </row>
    <row r="440">
      <c r="A440" s="19" t="n"/>
      <c r="B440" s="19" t="n"/>
      <c r="C440" s="21" t="n"/>
      <c r="D440" s="19" t="n"/>
      <c r="E440" s="19" t="n"/>
      <c r="F440" s="19" t="n"/>
      <c r="G440" s="19" t="n"/>
      <c r="H440" s="18">
        <f>IF(D440="","",IF(D440="No","Lost",IF(E440="Dofollow","Live","Live (nofollow)")))</f>
        <v/>
      </c>
      <c r="I440" s="19" t="n"/>
    </row>
    <row r="441">
      <c r="A441" s="19" t="n"/>
      <c r="B441" s="19" t="n"/>
      <c r="C441" s="21" t="n"/>
      <c r="D441" s="19" t="n"/>
      <c r="E441" s="19" t="n"/>
      <c r="F441" s="19" t="n"/>
      <c r="G441" s="19" t="n"/>
      <c r="H441" s="18">
        <f>IF(D441="","",IF(D441="No","Lost",IF(E441="Dofollow","Live","Live (nofollow)")))</f>
        <v/>
      </c>
      <c r="I441" s="19" t="n"/>
    </row>
    <row r="442">
      <c r="A442" s="19" t="n"/>
      <c r="B442" s="19" t="n"/>
      <c r="C442" s="21" t="n"/>
      <c r="D442" s="19" t="n"/>
      <c r="E442" s="19" t="n"/>
      <c r="F442" s="19" t="n"/>
      <c r="G442" s="19" t="n"/>
      <c r="H442" s="18">
        <f>IF(D442="","",IF(D442="No","Lost",IF(E442="Dofollow","Live","Live (nofollow)")))</f>
        <v/>
      </c>
      <c r="I442" s="19" t="n"/>
    </row>
    <row r="443">
      <c r="A443" s="19" t="n"/>
      <c r="B443" s="19" t="n"/>
      <c r="C443" s="21" t="n"/>
      <c r="D443" s="19" t="n"/>
      <c r="E443" s="19" t="n"/>
      <c r="F443" s="19" t="n"/>
      <c r="G443" s="19" t="n"/>
      <c r="H443" s="18">
        <f>IF(D443="","",IF(D443="No","Lost",IF(E443="Dofollow","Live","Live (nofollow)")))</f>
        <v/>
      </c>
      <c r="I443" s="19" t="n"/>
    </row>
    <row r="444">
      <c r="A444" s="19" t="n"/>
      <c r="B444" s="19" t="n"/>
      <c r="C444" s="21" t="n"/>
      <c r="D444" s="19" t="n"/>
      <c r="E444" s="19" t="n"/>
      <c r="F444" s="19" t="n"/>
      <c r="G444" s="19" t="n"/>
      <c r="H444" s="18">
        <f>IF(D444="","",IF(D444="No","Lost",IF(E444="Dofollow","Live","Live (nofollow)")))</f>
        <v/>
      </c>
      <c r="I444" s="19" t="n"/>
    </row>
    <row r="445">
      <c r="A445" s="19" t="n"/>
      <c r="B445" s="19" t="n"/>
      <c r="C445" s="21" t="n"/>
      <c r="D445" s="19" t="n"/>
      <c r="E445" s="19" t="n"/>
      <c r="F445" s="19" t="n"/>
      <c r="G445" s="19" t="n"/>
      <c r="H445" s="18">
        <f>IF(D445="","",IF(D445="No","Lost",IF(E445="Dofollow","Live","Live (nofollow)")))</f>
        <v/>
      </c>
      <c r="I445" s="19" t="n"/>
    </row>
    <row r="446">
      <c r="A446" s="19" t="n"/>
      <c r="B446" s="19" t="n"/>
      <c r="C446" s="21" t="n"/>
      <c r="D446" s="19" t="n"/>
      <c r="E446" s="19" t="n"/>
      <c r="F446" s="19" t="n"/>
      <c r="G446" s="19" t="n"/>
      <c r="H446" s="18">
        <f>IF(D446="","",IF(D446="No","Lost",IF(E446="Dofollow","Live","Live (nofollow)")))</f>
        <v/>
      </c>
      <c r="I446" s="19" t="n"/>
    </row>
    <row r="447">
      <c r="A447" s="19" t="n"/>
      <c r="B447" s="19" t="n"/>
      <c r="C447" s="21" t="n"/>
      <c r="D447" s="19" t="n"/>
      <c r="E447" s="19" t="n"/>
      <c r="F447" s="19" t="n"/>
      <c r="G447" s="19" t="n"/>
      <c r="H447" s="18">
        <f>IF(D447="","",IF(D447="No","Lost",IF(E447="Dofollow","Live","Live (nofollow)")))</f>
        <v/>
      </c>
      <c r="I447" s="19" t="n"/>
    </row>
    <row r="448">
      <c r="A448" s="19" t="n"/>
      <c r="B448" s="19" t="n"/>
      <c r="C448" s="21" t="n"/>
      <c r="D448" s="19" t="n"/>
      <c r="E448" s="19" t="n"/>
      <c r="F448" s="19" t="n"/>
      <c r="G448" s="19" t="n"/>
      <c r="H448" s="18">
        <f>IF(D448="","",IF(D448="No","Lost",IF(E448="Dofollow","Live","Live (nofollow)")))</f>
        <v/>
      </c>
      <c r="I448" s="19" t="n"/>
    </row>
    <row r="449">
      <c r="A449" s="19" t="n"/>
      <c r="B449" s="19" t="n"/>
      <c r="C449" s="21" t="n"/>
      <c r="D449" s="19" t="n"/>
      <c r="E449" s="19" t="n"/>
      <c r="F449" s="19" t="n"/>
      <c r="G449" s="19" t="n"/>
      <c r="H449" s="18">
        <f>IF(D449="","",IF(D449="No","Lost",IF(E449="Dofollow","Live","Live (nofollow)")))</f>
        <v/>
      </c>
      <c r="I449" s="19" t="n"/>
    </row>
    <row r="450">
      <c r="A450" s="19" t="n"/>
      <c r="B450" s="19" t="n"/>
      <c r="C450" s="21" t="n"/>
      <c r="D450" s="19" t="n"/>
      <c r="E450" s="19" t="n"/>
      <c r="F450" s="19" t="n"/>
      <c r="G450" s="19" t="n"/>
      <c r="H450" s="18">
        <f>IF(D450="","",IF(D450="No","Lost",IF(E450="Dofollow","Live","Live (nofollow)")))</f>
        <v/>
      </c>
      <c r="I450" s="19" t="n"/>
    </row>
    <row r="451">
      <c r="A451" s="19" t="n"/>
      <c r="B451" s="19" t="n"/>
      <c r="C451" s="21" t="n"/>
      <c r="D451" s="19" t="n"/>
      <c r="E451" s="19" t="n"/>
      <c r="F451" s="19" t="n"/>
      <c r="G451" s="19" t="n"/>
      <c r="H451" s="18">
        <f>IF(D451="","",IF(D451="No","Lost",IF(E451="Dofollow","Live","Live (nofollow)")))</f>
        <v/>
      </c>
      <c r="I451" s="19" t="n"/>
    </row>
    <row r="452">
      <c r="A452" s="19" t="n"/>
      <c r="B452" s="19" t="n"/>
      <c r="C452" s="21" t="n"/>
      <c r="D452" s="19" t="n"/>
      <c r="E452" s="19" t="n"/>
      <c r="F452" s="19" t="n"/>
      <c r="G452" s="19" t="n"/>
      <c r="H452" s="18">
        <f>IF(D452="","",IF(D452="No","Lost",IF(E452="Dofollow","Live","Live (nofollow)")))</f>
        <v/>
      </c>
      <c r="I452" s="19" t="n"/>
    </row>
    <row r="453">
      <c r="A453" s="19" t="n"/>
      <c r="B453" s="19" t="n"/>
      <c r="C453" s="21" t="n"/>
      <c r="D453" s="19" t="n"/>
      <c r="E453" s="19" t="n"/>
      <c r="F453" s="19" t="n"/>
      <c r="G453" s="19" t="n"/>
      <c r="H453" s="18">
        <f>IF(D453="","",IF(D453="No","Lost",IF(E453="Dofollow","Live","Live (nofollow)")))</f>
        <v/>
      </c>
      <c r="I453" s="19" t="n"/>
    </row>
    <row r="454">
      <c r="A454" s="19" t="n"/>
      <c r="B454" s="19" t="n"/>
      <c r="C454" s="21" t="n"/>
      <c r="D454" s="19" t="n"/>
      <c r="E454" s="19" t="n"/>
      <c r="F454" s="19" t="n"/>
      <c r="G454" s="19" t="n"/>
      <c r="H454" s="18">
        <f>IF(D454="","",IF(D454="No","Lost",IF(E454="Dofollow","Live","Live (nofollow)")))</f>
        <v/>
      </c>
      <c r="I454" s="19" t="n"/>
    </row>
    <row r="455">
      <c r="A455" s="19" t="n"/>
      <c r="B455" s="19" t="n"/>
      <c r="C455" s="21" t="n"/>
      <c r="D455" s="19" t="n"/>
      <c r="E455" s="19" t="n"/>
      <c r="F455" s="19" t="n"/>
      <c r="G455" s="19" t="n"/>
      <c r="H455" s="18">
        <f>IF(D455="","",IF(D455="No","Lost",IF(E455="Dofollow","Live","Live (nofollow)")))</f>
        <v/>
      </c>
      <c r="I455" s="19" t="n"/>
    </row>
    <row r="456">
      <c r="A456" s="19" t="n"/>
      <c r="B456" s="19" t="n"/>
      <c r="C456" s="21" t="n"/>
      <c r="D456" s="19" t="n"/>
      <c r="E456" s="19" t="n"/>
      <c r="F456" s="19" t="n"/>
      <c r="G456" s="19" t="n"/>
      <c r="H456" s="18">
        <f>IF(D456="","",IF(D456="No","Lost",IF(E456="Dofollow","Live","Live (nofollow)")))</f>
        <v/>
      </c>
      <c r="I456" s="19" t="n"/>
    </row>
    <row r="457">
      <c r="A457" s="19" t="n"/>
      <c r="B457" s="19" t="n"/>
      <c r="C457" s="21" t="n"/>
      <c r="D457" s="19" t="n"/>
      <c r="E457" s="19" t="n"/>
      <c r="F457" s="19" t="n"/>
      <c r="G457" s="19" t="n"/>
      <c r="H457" s="18">
        <f>IF(D457="","",IF(D457="No","Lost",IF(E457="Dofollow","Live","Live (nofollow)")))</f>
        <v/>
      </c>
      <c r="I457" s="19" t="n"/>
    </row>
    <row r="458">
      <c r="A458" s="19" t="n"/>
      <c r="B458" s="19" t="n"/>
      <c r="C458" s="21" t="n"/>
      <c r="D458" s="19" t="n"/>
      <c r="E458" s="19" t="n"/>
      <c r="F458" s="19" t="n"/>
      <c r="G458" s="19" t="n"/>
      <c r="H458" s="18">
        <f>IF(D458="","",IF(D458="No","Lost",IF(E458="Dofollow","Live","Live (nofollow)")))</f>
        <v/>
      </c>
      <c r="I458" s="19" t="n"/>
    </row>
    <row r="459">
      <c r="A459" s="19" t="n"/>
      <c r="B459" s="19" t="n"/>
      <c r="C459" s="21" t="n"/>
      <c r="D459" s="19" t="n"/>
      <c r="E459" s="19" t="n"/>
      <c r="F459" s="19" t="n"/>
      <c r="G459" s="19" t="n"/>
      <c r="H459" s="18">
        <f>IF(D459="","",IF(D459="No","Lost",IF(E459="Dofollow","Live","Live (nofollow)")))</f>
        <v/>
      </c>
      <c r="I459" s="19" t="n"/>
    </row>
    <row r="460">
      <c r="A460" s="19" t="n"/>
      <c r="B460" s="19" t="n"/>
      <c r="C460" s="21" t="n"/>
      <c r="D460" s="19" t="n"/>
      <c r="E460" s="19" t="n"/>
      <c r="F460" s="19" t="n"/>
      <c r="G460" s="19" t="n"/>
      <c r="H460" s="18">
        <f>IF(D460="","",IF(D460="No","Lost",IF(E460="Dofollow","Live","Live (nofollow)")))</f>
        <v/>
      </c>
      <c r="I460" s="19" t="n"/>
    </row>
    <row r="461">
      <c r="A461" s="19" t="n"/>
      <c r="B461" s="19" t="n"/>
      <c r="C461" s="21" t="n"/>
      <c r="D461" s="19" t="n"/>
      <c r="E461" s="19" t="n"/>
      <c r="F461" s="19" t="n"/>
      <c r="G461" s="19" t="n"/>
      <c r="H461" s="18">
        <f>IF(D461="","",IF(D461="No","Lost",IF(E461="Dofollow","Live","Live (nofollow)")))</f>
        <v/>
      </c>
      <c r="I461" s="19" t="n"/>
    </row>
    <row r="462">
      <c r="A462" s="19" t="n"/>
      <c r="B462" s="19" t="n"/>
      <c r="C462" s="21" t="n"/>
      <c r="D462" s="19" t="n"/>
      <c r="E462" s="19" t="n"/>
      <c r="F462" s="19" t="n"/>
      <c r="G462" s="19" t="n"/>
      <c r="H462" s="18">
        <f>IF(D462="","",IF(D462="No","Lost",IF(E462="Dofollow","Live","Live (nofollow)")))</f>
        <v/>
      </c>
      <c r="I462" s="19" t="n"/>
    </row>
    <row r="463">
      <c r="A463" s="19" t="n"/>
      <c r="B463" s="19" t="n"/>
      <c r="C463" s="21" t="n"/>
      <c r="D463" s="19" t="n"/>
      <c r="E463" s="19" t="n"/>
      <c r="F463" s="19" t="n"/>
      <c r="G463" s="19" t="n"/>
      <c r="H463" s="18">
        <f>IF(D463="","",IF(D463="No","Lost",IF(E463="Dofollow","Live","Live (nofollow)")))</f>
        <v/>
      </c>
      <c r="I463" s="19" t="n"/>
    </row>
    <row r="464">
      <c r="A464" s="19" t="n"/>
      <c r="B464" s="19" t="n"/>
      <c r="C464" s="21" t="n"/>
      <c r="D464" s="19" t="n"/>
      <c r="E464" s="19" t="n"/>
      <c r="F464" s="19" t="n"/>
      <c r="G464" s="19" t="n"/>
      <c r="H464" s="18">
        <f>IF(D464="","",IF(D464="No","Lost",IF(E464="Dofollow","Live","Live (nofollow)")))</f>
        <v/>
      </c>
      <c r="I464" s="19" t="n"/>
    </row>
    <row r="465">
      <c r="A465" s="19" t="n"/>
      <c r="B465" s="19" t="n"/>
      <c r="C465" s="21" t="n"/>
      <c r="D465" s="19" t="n"/>
      <c r="E465" s="19" t="n"/>
      <c r="F465" s="19" t="n"/>
      <c r="G465" s="19" t="n"/>
      <c r="H465" s="18">
        <f>IF(D465="","",IF(D465="No","Lost",IF(E465="Dofollow","Live","Live (nofollow)")))</f>
        <v/>
      </c>
      <c r="I465" s="19" t="n"/>
    </row>
    <row r="466">
      <c r="A466" s="19" t="n"/>
      <c r="B466" s="19" t="n"/>
      <c r="C466" s="21" t="n"/>
      <c r="D466" s="19" t="n"/>
      <c r="E466" s="19" t="n"/>
      <c r="F466" s="19" t="n"/>
      <c r="G466" s="19" t="n"/>
      <c r="H466" s="18">
        <f>IF(D466="","",IF(D466="No","Lost",IF(E466="Dofollow","Live","Live (nofollow)")))</f>
        <v/>
      </c>
      <c r="I466" s="19" t="n"/>
    </row>
    <row r="467">
      <c r="A467" s="19" t="n"/>
      <c r="B467" s="19" t="n"/>
      <c r="C467" s="21" t="n"/>
      <c r="D467" s="19" t="n"/>
      <c r="E467" s="19" t="n"/>
      <c r="F467" s="19" t="n"/>
      <c r="G467" s="19" t="n"/>
      <c r="H467" s="18">
        <f>IF(D467="","",IF(D467="No","Lost",IF(E467="Dofollow","Live","Live (nofollow)")))</f>
        <v/>
      </c>
      <c r="I467" s="19" t="n"/>
    </row>
    <row r="468">
      <c r="A468" s="19" t="n"/>
      <c r="B468" s="19" t="n"/>
      <c r="C468" s="21" t="n"/>
      <c r="D468" s="19" t="n"/>
      <c r="E468" s="19" t="n"/>
      <c r="F468" s="19" t="n"/>
      <c r="G468" s="19" t="n"/>
      <c r="H468" s="18">
        <f>IF(D468="","",IF(D468="No","Lost",IF(E468="Dofollow","Live","Live (nofollow)")))</f>
        <v/>
      </c>
      <c r="I468" s="19" t="n"/>
    </row>
    <row r="469">
      <c r="A469" s="19" t="n"/>
      <c r="B469" s="19" t="n"/>
      <c r="C469" s="21" t="n"/>
      <c r="D469" s="19" t="n"/>
      <c r="E469" s="19" t="n"/>
      <c r="F469" s="19" t="n"/>
      <c r="G469" s="19" t="n"/>
      <c r="H469" s="18">
        <f>IF(D469="","",IF(D469="No","Lost",IF(E469="Dofollow","Live","Live (nofollow)")))</f>
        <v/>
      </c>
      <c r="I469" s="19" t="n"/>
    </row>
    <row r="470">
      <c r="A470" s="19" t="n"/>
      <c r="B470" s="19" t="n"/>
      <c r="C470" s="21" t="n"/>
      <c r="D470" s="19" t="n"/>
      <c r="E470" s="19" t="n"/>
      <c r="F470" s="19" t="n"/>
      <c r="G470" s="19" t="n"/>
      <c r="H470" s="18">
        <f>IF(D470="","",IF(D470="No","Lost",IF(E470="Dofollow","Live","Live (nofollow)")))</f>
        <v/>
      </c>
      <c r="I470" s="19" t="n"/>
    </row>
    <row r="471">
      <c r="A471" s="19" t="n"/>
      <c r="B471" s="19" t="n"/>
      <c r="C471" s="21" t="n"/>
      <c r="D471" s="19" t="n"/>
      <c r="E471" s="19" t="n"/>
      <c r="F471" s="19" t="n"/>
      <c r="G471" s="19" t="n"/>
      <c r="H471" s="18">
        <f>IF(D471="","",IF(D471="No","Lost",IF(E471="Dofollow","Live","Live (nofollow)")))</f>
        <v/>
      </c>
      <c r="I471" s="19" t="n"/>
    </row>
    <row r="472">
      <c r="A472" s="19" t="n"/>
      <c r="B472" s="19" t="n"/>
      <c r="C472" s="21" t="n"/>
      <c r="D472" s="19" t="n"/>
      <c r="E472" s="19" t="n"/>
      <c r="F472" s="19" t="n"/>
      <c r="G472" s="19" t="n"/>
      <c r="H472" s="18">
        <f>IF(D472="","",IF(D472="No","Lost",IF(E472="Dofollow","Live","Live (nofollow)")))</f>
        <v/>
      </c>
      <c r="I472" s="19" t="n"/>
    </row>
    <row r="473">
      <c r="A473" s="19" t="n"/>
      <c r="B473" s="19" t="n"/>
      <c r="C473" s="21" t="n"/>
      <c r="D473" s="19" t="n"/>
      <c r="E473" s="19" t="n"/>
      <c r="F473" s="19" t="n"/>
      <c r="G473" s="19" t="n"/>
      <c r="H473" s="18">
        <f>IF(D473="","",IF(D473="No","Lost",IF(E473="Dofollow","Live","Live (nofollow)")))</f>
        <v/>
      </c>
      <c r="I473" s="19" t="n"/>
    </row>
    <row r="474">
      <c r="A474" s="19" t="n"/>
      <c r="B474" s="19" t="n"/>
      <c r="C474" s="21" t="n"/>
      <c r="D474" s="19" t="n"/>
      <c r="E474" s="19" t="n"/>
      <c r="F474" s="19" t="n"/>
      <c r="G474" s="19" t="n"/>
      <c r="H474" s="18">
        <f>IF(D474="","",IF(D474="No","Lost",IF(E474="Dofollow","Live","Live (nofollow)")))</f>
        <v/>
      </c>
      <c r="I474" s="19" t="n"/>
    </row>
    <row r="475">
      <c r="A475" s="19" t="n"/>
      <c r="B475" s="19" t="n"/>
      <c r="C475" s="21" t="n"/>
      <c r="D475" s="19" t="n"/>
      <c r="E475" s="19" t="n"/>
      <c r="F475" s="19" t="n"/>
      <c r="G475" s="19" t="n"/>
      <c r="H475" s="18">
        <f>IF(D475="","",IF(D475="No","Lost",IF(E475="Dofollow","Live","Live (nofollow)")))</f>
        <v/>
      </c>
      <c r="I475" s="19" t="n"/>
    </row>
    <row r="476">
      <c r="A476" s="19" t="n"/>
      <c r="B476" s="19" t="n"/>
      <c r="C476" s="21" t="n"/>
      <c r="D476" s="19" t="n"/>
      <c r="E476" s="19" t="n"/>
      <c r="F476" s="19" t="n"/>
      <c r="G476" s="19" t="n"/>
      <c r="H476" s="18">
        <f>IF(D476="","",IF(D476="No","Lost",IF(E476="Dofollow","Live","Live (nofollow)")))</f>
        <v/>
      </c>
      <c r="I476" s="19" t="n"/>
    </row>
    <row r="477">
      <c r="A477" s="19" t="n"/>
      <c r="B477" s="19" t="n"/>
      <c r="C477" s="21" t="n"/>
      <c r="D477" s="19" t="n"/>
      <c r="E477" s="19" t="n"/>
      <c r="F477" s="19" t="n"/>
      <c r="G477" s="19" t="n"/>
      <c r="H477" s="18">
        <f>IF(D477="","",IF(D477="No","Lost",IF(E477="Dofollow","Live","Live (nofollow)")))</f>
        <v/>
      </c>
      <c r="I477" s="19" t="n"/>
    </row>
    <row r="478">
      <c r="A478" s="19" t="n"/>
      <c r="B478" s="19" t="n"/>
      <c r="C478" s="21" t="n"/>
      <c r="D478" s="19" t="n"/>
      <c r="E478" s="19" t="n"/>
      <c r="F478" s="19" t="n"/>
      <c r="G478" s="19" t="n"/>
      <c r="H478" s="18">
        <f>IF(D478="","",IF(D478="No","Lost",IF(E478="Dofollow","Live","Live (nofollow)")))</f>
        <v/>
      </c>
      <c r="I478" s="19" t="n"/>
    </row>
    <row r="479">
      <c r="A479" s="19" t="n"/>
      <c r="B479" s="19" t="n"/>
      <c r="C479" s="21" t="n"/>
      <c r="D479" s="19" t="n"/>
      <c r="E479" s="19" t="n"/>
      <c r="F479" s="19" t="n"/>
      <c r="G479" s="19" t="n"/>
      <c r="H479" s="18">
        <f>IF(D479="","",IF(D479="No","Lost",IF(E479="Dofollow","Live","Live (nofollow)")))</f>
        <v/>
      </c>
      <c r="I479" s="19" t="n"/>
    </row>
    <row r="480">
      <c r="A480" s="19" t="n"/>
      <c r="B480" s="19" t="n"/>
      <c r="C480" s="21" t="n"/>
      <c r="D480" s="19" t="n"/>
      <c r="E480" s="19" t="n"/>
      <c r="F480" s="19" t="n"/>
      <c r="G480" s="19" t="n"/>
      <c r="H480" s="18">
        <f>IF(D480="","",IF(D480="No","Lost",IF(E480="Dofollow","Live","Live (nofollow)")))</f>
        <v/>
      </c>
      <c r="I480" s="19" t="n"/>
    </row>
    <row r="481">
      <c r="A481" s="19" t="n"/>
      <c r="B481" s="19" t="n"/>
      <c r="C481" s="21" t="n"/>
      <c r="D481" s="19" t="n"/>
      <c r="E481" s="19" t="n"/>
      <c r="F481" s="19" t="n"/>
      <c r="G481" s="19" t="n"/>
      <c r="H481" s="18">
        <f>IF(D481="","",IF(D481="No","Lost",IF(E481="Dofollow","Live","Live (nofollow)")))</f>
        <v/>
      </c>
      <c r="I481" s="19" t="n"/>
    </row>
    <row r="482">
      <c r="A482" s="19" t="n"/>
      <c r="B482" s="19" t="n"/>
      <c r="C482" s="21" t="n"/>
      <c r="D482" s="19" t="n"/>
      <c r="E482" s="19" t="n"/>
      <c r="F482" s="19" t="n"/>
      <c r="G482" s="19" t="n"/>
      <c r="H482" s="18">
        <f>IF(D482="","",IF(D482="No","Lost",IF(E482="Dofollow","Live","Live (nofollow)")))</f>
        <v/>
      </c>
      <c r="I482" s="19" t="n"/>
    </row>
    <row r="483">
      <c r="A483" s="19" t="n"/>
      <c r="B483" s="19" t="n"/>
      <c r="C483" s="21" t="n"/>
      <c r="D483" s="19" t="n"/>
      <c r="E483" s="19" t="n"/>
      <c r="F483" s="19" t="n"/>
      <c r="G483" s="19" t="n"/>
      <c r="H483" s="18">
        <f>IF(D483="","",IF(D483="No","Lost",IF(E483="Dofollow","Live","Live (nofollow)")))</f>
        <v/>
      </c>
      <c r="I483" s="19" t="n"/>
    </row>
    <row r="484">
      <c r="A484" s="19" t="n"/>
      <c r="B484" s="19" t="n"/>
      <c r="C484" s="21" t="n"/>
      <c r="D484" s="19" t="n"/>
      <c r="E484" s="19" t="n"/>
      <c r="F484" s="19" t="n"/>
      <c r="G484" s="19" t="n"/>
      <c r="H484" s="18">
        <f>IF(D484="","",IF(D484="No","Lost",IF(E484="Dofollow","Live","Live (nofollow)")))</f>
        <v/>
      </c>
      <c r="I484" s="19" t="n"/>
    </row>
    <row r="485">
      <c r="A485" s="19" t="n"/>
      <c r="B485" s="19" t="n"/>
      <c r="C485" s="21" t="n"/>
      <c r="D485" s="19" t="n"/>
      <c r="E485" s="19" t="n"/>
      <c r="F485" s="19" t="n"/>
      <c r="G485" s="19" t="n"/>
      <c r="H485" s="18">
        <f>IF(D485="","",IF(D485="No","Lost",IF(E485="Dofollow","Live","Live (nofollow)")))</f>
        <v/>
      </c>
      <c r="I485" s="19" t="n"/>
    </row>
    <row r="486">
      <c r="A486" s="19" t="n"/>
      <c r="B486" s="19" t="n"/>
      <c r="C486" s="21" t="n"/>
      <c r="D486" s="19" t="n"/>
      <c r="E486" s="19" t="n"/>
      <c r="F486" s="19" t="n"/>
      <c r="G486" s="19" t="n"/>
      <c r="H486" s="18">
        <f>IF(D486="","",IF(D486="No","Lost",IF(E486="Dofollow","Live","Live (nofollow)")))</f>
        <v/>
      </c>
      <c r="I486" s="19" t="n"/>
    </row>
    <row r="487">
      <c r="A487" s="19" t="n"/>
      <c r="B487" s="19" t="n"/>
      <c r="C487" s="21" t="n"/>
      <c r="D487" s="19" t="n"/>
      <c r="E487" s="19" t="n"/>
      <c r="F487" s="19" t="n"/>
      <c r="G487" s="19" t="n"/>
      <c r="H487" s="18">
        <f>IF(D487="","",IF(D487="No","Lost",IF(E487="Dofollow","Live","Live (nofollow)")))</f>
        <v/>
      </c>
      <c r="I487" s="19" t="n"/>
    </row>
    <row r="488">
      <c r="A488" s="19" t="n"/>
      <c r="B488" s="19" t="n"/>
      <c r="C488" s="21" t="n"/>
      <c r="D488" s="19" t="n"/>
      <c r="E488" s="19" t="n"/>
      <c r="F488" s="19" t="n"/>
      <c r="G488" s="19" t="n"/>
      <c r="H488" s="18">
        <f>IF(D488="","",IF(D488="No","Lost",IF(E488="Dofollow","Live","Live (nofollow)")))</f>
        <v/>
      </c>
      <c r="I488" s="19" t="n"/>
    </row>
    <row r="489">
      <c r="A489" s="19" t="n"/>
      <c r="B489" s="19" t="n"/>
      <c r="C489" s="21" t="n"/>
      <c r="D489" s="19" t="n"/>
      <c r="E489" s="19" t="n"/>
      <c r="F489" s="19" t="n"/>
      <c r="G489" s="19" t="n"/>
      <c r="H489" s="18">
        <f>IF(D489="","",IF(D489="No","Lost",IF(E489="Dofollow","Live","Live (nofollow)")))</f>
        <v/>
      </c>
      <c r="I489" s="19" t="n"/>
    </row>
    <row r="490">
      <c r="A490" s="19" t="n"/>
      <c r="B490" s="19" t="n"/>
      <c r="C490" s="21" t="n"/>
      <c r="D490" s="19" t="n"/>
      <c r="E490" s="19" t="n"/>
      <c r="F490" s="19" t="n"/>
      <c r="G490" s="19" t="n"/>
      <c r="H490" s="18">
        <f>IF(D490="","",IF(D490="No","Lost",IF(E490="Dofollow","Live","Live (nofollow)")))</f>
        <v/>
      </c>
      <c r="I490" s="19" t="n"/>
    </row>
    <row r="491">
      <c r="A491" s="19" t="n"/>
      <c r="B491" s="19" t="n"/>
      <c r="C491" s="21" t="n"/>
      <c r="D491" s="19" t="n"/>
      <c r="E491" s="19" t="n"/>
      <c r="F491" s="19" t="n"/>
      <c r="G491" s="19" t="n"/>
      <c r="H491" s="18">
        <f>IF(D491="","",IF(D491="No","Lost",IF(E491="Dofollow","Live","Live (nofollow)")))</f>
        <v/>
      </c>
      <c r="I491" s="19" t="n"/>
    </row>
    <row r="492">
      <c r="A492" s="19" t="n"/>
      <c r="B492" s="19" t="n"/>
      <c r="C492" s="21" t="n"/>
      <c r="D492" s="19" t="n"/>
      <c r="E492" s="19" t="n"/>
      <c r="F492" s="19" t="n"/>
      <c r="G492" s="19" t="n"/>
      <c r="H492" s="18">
        <f>IF(D492="","",IF(D492="No","Lost",IF(E492="Dofollow","Live","Live (nofollow)")))</f>
        <v/>
      </c>
      <c r="I492" s="19" t="n"/>
    </row>
    <row r="493">
      <c r="A493" s="19" t="n"/>
      <c r="B493" s="19" t="n"/>
      <c r="C493" s="21" t="n"/>
      <c r="D493" s="19" t="n"/>
      <c r="E493" s="19" t="n"/>
      <c r="F493" s="19" t="n"/>
      <c r="G493" s="19" t="n"/>
      <c r="H493" s="18">
        <f>IF(D493="","",IF(D493="No","Lost",IF(E493="Dofollow","Live","Live (nofollow)")))</f>
        <v/>
      </c>
      <c r="I493" s="19" t="n"/>
    </row>
    <row r="494">
      <c r="A494" s="19" t="n"/>
      <c r="B494" s="19" t="n"/>
      <c r="C494" s="21" t="n"/>
      <c r="D494" s="19" t="n"/>
      <c r="E494" s="19" t="n"/>
      <c r="F494" s="19" t="n"/>
      <c r="G494" s="19" t="n"/>
      <c r="H494" s="18">
        <f>IF(D494="","",IF(D494="No","Lost",IF(E494="Dofollow","Live","Live (nofollow)")))</f>
        <v/>
      </c>
      <c r="I494" s="19" t="n"/>
    </row>
    <row r="495">
      <c r="A495" s="19" t="n"/>
      <c r="B495" s="19" t="n"/>
      <c r="C495" s="21" t="n"/>
      <c r="D495" s="19" t="n"/>
      <c r="E495" s="19" t="n"/>
      <c r="F495" s="19" t="n"/>
      <c r="G495" s="19" t="n"/>
      <c r="H495" s="18">
        <f>IF(D495="","",IF(D495="No","Lost",IF(E495="Dofollow","Live","Live (nofollow)")))</f>
        <v/>
      </c>
      <c r="I495" s="19" t="n"/>
    </row>
    <row r="496">
      <c r="A496" s="19" t="n"/>
      <c r="B496" s="19" t="n"/>
      <c r="C496" s="21" t="n"/>
      <c r="D496" s="19" t="n"/>
      <c r="E496" s="19" t="n"/>
      <c r="F496" s="19" t="n"/>
      <c r="G496" s="19" t="n"/>
      <c r="H496" s="18">
        <f>IF(D496="","",IF(D496="No","Lost",IF(E496="Dofollow","Live","Live (nofollow)")))</f>
        <v/>
      </c>
      <c r="I496" s="19" t="n"/>
    </row>
    <row r="497">
      <c r="A497" s="19" t="n"/>
      <c r="B497" s="19" t="n"/>
      <c r="C497" s="21" t="n"/>
      <c r="D497" s="19" t="n"/>
      <c r="E497" s="19" t="n"/>
      <c r="F497" s="19" t="n"/>
      <c r="G497" s="19" t="n"/>
      <c r="H497" s="18">
        <f>IF(D497="","",IF(D497="No","Lost",IF(E497="Dofollow","Live","Live (nofollow)")))</f>
        <v/>
      </c>
      <c r="I497" s="19" t="n"/>
    </row>
    <row r="498">
      <c r="A498" s="19" t="n"/>
      <c r="B498" s="19" t="n"/>
      <c r="C498" s="21" t="n"/>
      <c r="D498" s="19" t="n"/>
      <c r="E498" s="19" t="n"/>
      <c r="F498" s="19" t="n"/>
      <c r="G498" s="19" t="n"/>
      <c r="H498" s="18">
        <f>IF(D498="","",IF(D498="No","Lost",IF(E498="Dofollow","Live","Live (nofollow)")))</f>
        <v/>
      </c>
      <c r="I498" s="19" t="n"/>
    </row>
    <row r="499">
      <c r="A499" s="19" t="n"/>
      <c r="B499" s="19" t="n"/>
      <c r="C499" s="21" t="n"/>
      <c r="D499" s="19" t="n"/>
      <c r="E499" s="19" t="n"/>
      <c r="F499" s="19" t="n"/>
      <c r="G499" s="19" t="n"/>
      <c r="H499" s="18">
        <f>IF(D499="","",IF(D499="No","Lost",IF(E499="Dofollow","Live","Live (nofollow)")))</f>
        <v/>
      </c>
      <c r="I499" s="19" t="n"/>
    </row>
    <row r="500">
      <c r="A500" s="19" t="n"/>
      <c r="B500" s="19" t="n"/>
      <c r="C500" s="21" t="n"/>
      <c r="D500" s="19" t="n"/>
      <c r="E500" s="19" t="n"/>
      <c r="F500" s="19" t="n"/>
      <c r="G500" s="19" t="n"/>
      <c r="H500" s="18">
        <f>IF(D500="","",IF(D500="No","Lost",IF(E500="Dofollow","Live","Live (nofollow)")))</f>
        <v/>
      </c>
      <c r="I500" s="19" t="n"/>
    </row>
    <row r="501">
      <c r="A501" s="19" t="n"/>
      <c r="B501" s="19" t="n"/>
      <c r="C501" s="21" t="n"/>
      <c r="D501" s="19" t="n"/>
      <c r="E501" s="19" t="n"/>
      <c r="F501" s="19" t="n"/>
      <c r="G501" s="19" t="n"/>
      <c r="H501" s="18">
        <f>IF(D501="","",IF(D501="No","Lost",IF(E501="Dofollow","Live","Live (nofollow)")))</f>
        <v/>
      </c>
      <c r="I501" s="19" t="n"/>
    </row>
  </sheetData>
  <autoFilter ref="A1:I501"/>
  <dataValidations count="3">
    <dataValidation sqref="D2:D501" showDropDown="0" showInputMessage="0" showErrorMessage="0" allowBlank="1" type="list">
      <formula1>"Yes,No"</formula1>
    </dataValidation>
    <dataValidation sqref="E2:E501" showDropDown="0" showInputMessage="0" showErrorMessage="0" allowBlank="1" type="list">
      <formula1>"Dofollow,Nofollow,UGC,Sponsored"</formula1>
    </dataValidation>
    <dataValidation sqref="F2:F501" showDropDown="0" showInputMessage="0" showErrorMessage="0" allowBlank="1" type="list">
      <formula1>"Yes,No,Unknown"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2026-09-24T22:51:00Z</dcterms:created>
  <dcterms:modified xsi:type="dcterms:W3CDTF">2026-09-24T22:51:01Z</dcterms:modified>
</cp:coreProperties>
</file>